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eduardohenriquerigoni/Documents/"/>
    </mc:Choice>
  </mc:AlternateContent>
  <xr:revisionPtr revIDLastSave="0" documentId="8_{D9BD2C82-4BA9-BC40-91B8-716578375ADC}" xr6:coauthVersionLast="47" xr6:coauthVersionMax="47" xr10:uidLastSave="{00000000-0000-0000-0000-000000000000}"/>
  <bookViews>
    <workbookView xWindow="4420" yWindow="660" windowWidth="24980" windowHeight="16760" xr2:uid="{00000000-000D-0000-FFFF-FFFF00000000}"/>
  </bookViews>
  <sheets>
    <sheet name="Geral - Todas Entidades" sheetId="1" r:id="rId1"/>
    <sheet name="Escolas" sheetId="2" r:id="rId2"/>
    <sheet name="Igrejas" sheetId="3" r:id="rId3"/>
    <sheet name="Associações" sheetId="4" r:id="rId4"/>
    <sheet name="Resumo &amp; Métric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5" l="1"/>
  <c r="D16" i="5"/>
  <c r="C16" i="5"/>
  <c r="F16" i="5" s="1"/>
  <c r="E15" i="5"/>
  <c r="D15" i="5"/>
  <c r="C15" i="5"/>
  <c r="F15" i="5" s="1"/>
  <c r="E14" i="5"/>
  <c r="D14" i="5"/>
  <c r="C14" i="5"/>
  <c r="F14" i="5" s="1"/>
  <c r="E13" i="5"/>
  <c r="F13" i="5" s="1"/>
  <c r="D13" i="5"/>
  <c r="C13" i="5"/>
  <c r="E12" i="5"/>
  <c r="D12" i="5"/>
  <c r="C12" i="5"/>
  <c r="F12" i="5" s="1"/>
  <c r="E11" i="5"/>
  <c r="D11" i="5"/>
  <c r="C11" i="5"/>
  <c r="F11" i="5" s="1"/>
  <c r="E10" i="5"/>
  <c r="D10" i="5"/>
  <c r="C10" i="5"/>
  <c r="F10" i="5" s="1"/>
  <c r="E9" i="5"/>
  <c r="E17" i="5" s="1"/>
  <c r="D9" i="5"/>
  <c r="D17" i="5" s="1"/>
  <c r="C9" i="5"/>
  <c r="F9" i="5" s="1"/>
  <c r="D5" i="5"/>
  <c r="C5" i="5"/>
  <c r="B5" i="5"/>
  <c r="A5" i="5"/>
  <c r="F17" i="5" l="1"/>
  <c r="C17" i="5"/>
</calcChain>
</file>

<file path=xl/sharedStrings.xml><?xml version="1.0" encoding="utf-8"?>
<sst xmlns="http://schemas.openxmlformats.org/spreadsheetml/2006/main" count="1072" uniqueCount="358">
  <si>
    <t>CATÁLOGO DE INSTITUIÇÕES - PORTO ALEGRE E REGIÃO METROPOLITANA</t>
  </si>
  <si>
    <t>Mapeamento oficial com endereços, bairros e CEPs para Google My Maps e sistemas de geolocalização</t>
  </si>
  <si>
    <t>Entidade / Nome</t>
  </si>
  <si>
    <t>Categoria</t>
  </si>
  <si>
    <t>Tipo / Segmento</t>
  </si>
  <si>
    <t>Logradouro / Endereço</t>
  </si>
  <si>
    <t>Bairro</t>
  </si>
  <si>
    <t>Município</t>
  </si>
  <si>
    <t>CEP</t>
  </si>
  <si>
    <t>Observações / Detalhes</t>
  </si>
  <si>
    <t>Colégio Farroupilha</t>
  </si>
  <si>
    <t>Escola</t>
  </si>
  <si>
    <t>Privada / Tradicional</t>
  </si>
  <si>
    <t>Rua Carlos Huber, 425</t>
  </si>
  <si>
    <t>Três Figueiras</t>
  </si>
  <si>
    <t>Porto Alegre</t>
  </si>
  <si>
    <t>91330-150</t>
  </si>
  <si>
    <t>Ensino Infantil ao Médio</t>
  </si>
  <si>
    <t>Colégio Anchieta</t>
  </si>
  <si>
    <t>Privada / Jesuíta</t>
  </si>
  <si>
    <t>Av. Nilo Peçanha, 1521</t>
  </si>
  <si>
    <t>Boa Vista</t>
  </si>
  <si>
    <t>91330-000</t>
  </si>
  <si>
    <t>Colégio Marista Champagnat</t>
  </si>
  <si>
    <t>Privada / Marista</t>
  </si>
  <si>
    <t>Av. Ipiranga, 6681 - Prédio 12</t>
  </si>
  <si>
    <t>Partenon</t>
  </si>
  <si>
    <t>90619-900</t>
  </si>
  <si>
    <t>Campus da PUCRS</t>
  </si>
  <si>
    <t>Colégio Marista Rosário</t>
  </si>
  <si>
    <t>Praça Dom Sebastião, 2</t>
  </si>
  <si>
    <t>Independência</t>
  </si>
  <si>
    <t>90035-080</t>
  </si>
  <si>
    <t>Tradicional da região central</t>
  </si>
  <si>
    <t>Colégio João XXIII</t>
  </si>
  <si>
    <t>Privada / Cooperativa</t>
  </si>
  <si>
    <t>Rua Sepé Tiaraju, 1013</t>
  </si>
  <si>
    <t>Medianeira</t>
  </si>
  <si>
    <t>90840-000</t>
  </si>
  <si>
    <t>Foco comunitário e pedagógico</t>
  </si>
  <si>
    <t>Colégio Militar de Porto Alegre (CMPA)</t>
  </si>
  <si>
    <t>Pública / Federal</t>
  </si>
  <si>
    <t>Av. José Bonifácio, 363</t>
  </si>
  <si>
    <t>Bom Fim</t>
  </si>
  <si>
    <t>90040-130</t>
  </si>
  <si>
    <t>Em frente ao Parque da Redenção</t>
  </si>
  <si>
    <t>Colégio de Aplicação da UFRGS</t>
  </si>
  <si>
    <t>Av. Bento Gonçalves, 9500</t>
  </si>
  <si>
    <t>Agronomia</t>
  </si>
  <si>
    <t>91501-970</t>
  </si>
  <si>
    <t>Campus do Vale</t>
  </si>
  <si>
    <t>Colégio Santa Inês</t>
  </si>
  <si>
    <t>Privada / Católica</t>
  </si>
  <si>
    <t>Av. Protásio Alves, 2493</t>
  </si>
  <si>
    <t>Petrópolis</t>
  </si>
  <si>
    <t>90410-006</t>
  </si>
  <si>
    <t>Tradicional na Zona Leste</t>
  </si>
  <si>
    <t>Colégio Metodista Americano</t>
  </si>
  <si>
    <t>Privada / Metodista</t>
  </si>
  <si>
    <t>Rua Dr. Lauro de Oliveira, 71</t>
  </si>
  <si>
    <t>Rio Branco</t>
  </si>
  <si>
    <t>90420-210</t>
  </si>
  <si>
    <t>Tradicional instituição de ensino</t>
  </si>
  <si>
    <t>Colégio Leonardo da Vinci (Alfa)</t>
  </si>
  <si>
    <t>Privada</t>
  </si>
  <si>
    <t>Rua Santos Neto, 100</t>
  </si>
  <si>
    <t>Floresta</t>
  </si>
  <si>
    <t>90220-020</t>
  </si>
  <si>
    <t>Zona Norte / Central</t>
  </si>
  <si>
    <t>Colégio Bom Conselho</t>
  </si>
  <si>
    <t>Privada / Franciscana</t>
  </si>
  <si>
    <t>Rua Ramiro Barcelos, 996</t>
  </si>
  <si>
    <t>90035-001</t>
  </si>
  <si>
    <t>Ensino Infantil a Médio</t>
  </si>
  <si>
    <t>Colégio La Salle Dores</t>
  </si>
  <si>
    <t>Privada / Lassalista</t>
  </si>
  <si>
    <t>Rua Riachuelo, 600</t>
  </si>
  <si>
    <t>Centro Histórico</t>
  </si>
  <si>
    <t>90010-270</t>
  </si>
  <si>
    <t>Tradicional no Centro Histórico</t>
  </si>
  <si>
    <t>Escola Estadual de Ensino Médio Paula Soares</t>
  </si>
  <si>
    <t>Pública / Estadual</t>
  </si>
  <si>
    <t>Rua General Auto, 365</t>
  </si>
  <si>
    <t>90010-320</t>
  </si>
  <si>
    <t>Ao lado do Palácio Piratini</t>
  </si>
  <si>
    <t>Colégio Monteiro Lobato</t>
  </si>
  <si>
    <t>Rua dos Andradas, 1180</t>
  </si>
  <si>
    <t>90020-008</t>
  </si>
  <si>
    <t>Educação Infantil a Pré-Vestibular</t>
  </si>
  <si>
    <t>Escola Municipal de Ensino Fundamental Porto Alegre (EPA)</t>
  </si>
  <si>
    <t>Pública / Municipal</t>
  </si>
  <si>
    <t>Rua Washington Luiz, 203</t>
  </si>
  <si>
    <t>90010-460</t>
  </si>
  <si>
    <t>Atendimento social e educacional</t>
  </si>
  <si>
    <t>Colégio La Salle Canoas</t>
  </si>
  <si>
    <t>Av. Victor Barreto, 2288</t>
  </si>
  <si>
    <t>Centro</t>
  </si>
  <si>
    <t>Canoas</t>
  </si>
  <si>
    <t>92010-000</t>
  </si>
  <si>
    <t>Polo de ensino metropolitano</t>
  </si>
  <si>
    <t>Colégio Maria Auxiliadora</t>
  </si>
  <si>
    <t>Rua Santa Teresinha, 444</t>
  </si>
  <si>
    <t>92010-010</t>
  </si>
  <si>
    <t>Rede Salesiana</t>
  </si>
  <si>
    <t>Colégio Sinodal</t>
  </si>
  <si>
    <t>Privada / Luterana</t>
  </si>
  <si>
    <t>Av. Dr. Maurício Cardoso, 56</t>
  </si>
  <si>
    <t>Feitoria</t>
  </si>
  <si>
    <t>São Leopoldo</t>
  </si>
  <si>
    <t>93052-160</t>
  </si>
  <si>
    <t>Referência no Vale do Sinos</t>
  </si>
  <si>
    <t>Colégio Santa Catarina</t>
  </si>
  <si>
    <t>Rua Caxias do Sul, 127</t>
  </si>
  <si>
    <t>Novo Hamburgo</t>
  </si>
  <si>
    <t>93510-050</t>
  </si>
  <si>
    <t>Tradicional da região calçadista</t>
  </si>
  <si>
    <t>Colégio Dom Feliciano</t>
  </si>
  <si>
    <t>Av. Brasil, 800</t>
  </si>
  <si>
    <t>Gravataí</t>
  </si>
  <si>
    <t>94010-000</t>
  </si>
  <si>
    <t>Instituição centenária de Gravataí</t>
  </si>
  <si>
    <t>Colégio Marista Graças</t>
  </si>
  <si>
    <t>Av. Senador Salgado Filho, 8316</t>
  </si>
  <si>
    <t>São Lucas</t>
  </si>
  <si>
    <t>Viamão</t>
  </si>
  <si>
    <t>94430-000</t>
  </si>
  <si>
    <t>Campus amplo em Viamão</t>
  </si>
  <si>
    <t>Escola Estadual de Ensino Médio Alvorada</t>
  </si>
  <si>
    <t>Rua Raul Pilla, 150</t>
  </si>
  <si>
    <t>Bela Vista</t>
  </si>
  <si>
    <t>Alvorada</t>
  </si>
  <si>
    <t>94810-180</t>
  </si>
  <si>
    <t>Destaque na rede estadual local</t>
  </si>
  <si>
    <t>Colégio Cenecista Frederico Michaelsen</t>
  </si>
  <si>
    <t>Privada / CNEC</t>
  </si>
  <si>
    <t>Rua Flores da Cunha, 1200</t>
  </si>
  <si>
    <t>Cachoeirinha</t>
  </si>
  <si>
    <t>94910-000</t>
  </si>
  <si>
    <t>Rede cenecista</t>
  </si>
  <si>
    <t>Catedral Metropolitana de Porto Alegre (N. Sra. Mãe de Deus)</t>
  </si>
  <si>
    <t>Igreja</t>
  </si>
  <si>
    <t>Católica</t>
  </si>
  <si>
    <t>Rua Duque de Caxias, 1047</t>
  </si>
  <si>
    <t>90010-282</t>
  </si>
  <si>
    <t>Marco arquitetônico e histórico da capital</t>
  </si>
  <si>
    <t>Igreja Nossa Senhora das Dores</t>
  </si>
  <si>
    <t>Rua dos Andradas, 587</t>
  </si>
  <si>
    <t>90020-003</t>
  </si>
  <si>
    <t>Igreja mais antiga de Porto Alegre</t>
  </si>
  <si>
    <t>Igreja São José</t>
  </si>
  <si>
    <t>Rua Alberto Bins, 452</t>
  </si>
  <si>
    <t>90030-140</t>
  </si>
  <si>
    <t>Centro financeiro e comercial</t>
  </si>
  <si>
    <t>Igreja da Candelária</t>
  </si>
  <si>
    <t>Rua Candelária, 110</t>
  </si>
  <si>
    <t>90240-200</t>
  </si>
  <si>
    <t>Fundada em 1940</t>
  </si>
  <si>
    <t>Santuário Nossa Senhora do Rosário</t>
  </si>
  <si>
    <t>Rua Vigário José Inácio, 402</t>
  </si>
  <si>
    <t>90020-110</t>
  </si>
  <si>
    <t>Praça Otávio Rocha</t>
  </si>
  <si>
    <t>Igreja Matriz Nossa Senhora dos Navegantes</t>
  </si>
  <si>
    <t>Praça Navegantes, 41</t>
  </si>
  <si>
    <t>Navegantes</t>
  </si>
  <si>
    <t>90240-000</t>
  </si>
  <si>
    <t>Palco da tradicional Festa dos Navegantes</t>
  </si>
  <si>
    <t>Paróquia Menino Deus</t>
  </si>
  <si>
    <t>Rua José de Alencar, 477</t>
  </si>
  <si>
    <t>Menino Deus</t>
  </si>
  <si>
    <t>90150-101</t>
  </si>
  <si>
    <t>Igreja histórica do primeiro arrabalde</t>
  </si>
  <si>
    <t>Igreja Evangélica de Confissão Luterana no Brasil (Igreja da Reconciliação)</t>
  </si>
  <si>
    <t>Luterana (IECLB)</t>
  </si>
  <si>
    <t>Rua Senhor dos Passos, 202</t>
  </si>
  <si>
    <t>90020-180</t>
  </si>
  <si>
    <t>Destaque do protestantismo histórico</t>
  </si>
  <si>
    <t>Primeira Igreja Batista de Porto Alegre (PIB)</t>
  </si>
  <si>
    <t>Batista</t>
  </si>
  <si>
    <t>Rua Silva Jardim, 381</t>
  </si>
  <si>
    <t>90450-070</t>
  </si>
  <si>
    <t>Fundada no início do século XX</t>
  </si>
  <si>
    <t>Igreja Episcopal Anglicana do Brasil (Catedral da Santíssima Trindade)</t>
  </si>
  <si>
    <t>Anglicana</t>
  </si>
  <si>
    <t>Rua dos Andradas, 880</t>
  </si>
  <si>
    <t>90020-005</t>
  </si>
  <si>
    <t>Sede da Diocese Anglicana</t>
  </si>
  <si>
    <t>Igreja Ortodoxa Grega dos Santos Apóstolos</t>
  </si>
  <si>
    <t>Ortodoxa</t>
  </si>
  <si>
    <t>Rua Dona Laura, 1097</t>
  </si>
  <si>
    <t>Mont'Serrat</t>
  </si>
  <si>
    <t>90430-091</t>
  </si>
  <si>
    <t>Comunidade helênica de POA</t>
  </si>
  <si>
    <t>Igreja Evangélica Assembleia de Deus de Porto Alegre</t>
  </si>
  <si>
    <t>Pentecostal</t>
  </si>
  <si>
    <t>Rua Bento Martins, 436</t>
  </si>
  <si>
    <t>90010-080</t>
  </si>
  <si>
    <t>Templo Central da Assembleia de Deus</t>
  </si>
  <si>
    <t>Igreja Presbiteriana Filadélfia de Porto Alegre</t>
  </si>
  <si>
    <t>Presbiteriana</t>
  </si>
  <si>
    <t>Av. Bagé, 560</t>
  </si>
  <si>
    <t>90460-080</t>
  </si>
  <si>
    <t>Bairro Petrópolis</t>
  </si>
  <si>
    <t>Paróquia Sagrado Coração de Jesus</t>
  </si>
  <si>
    <t>Rua Padre Cacique, 1260</t>
  </si>
  <si>
    <t>Praia de Belas</t>
  </si>
  <si>
    <t>90810-240</t>
  </si>
  <si>
    <t>Próximo ao Estádio Beira-Rio</t>
  </si>
  <si>
    <t>Igreja Matriz São Luiz Gonzaga</t>
  </si>
  <si>
    <t>Rua Cônego Alberto Biesdorf, 100</t>
  </si>
  <si>
    <t>92010-110</t>
  </si>
  <si>
    <t>Igreja matriz do município</t>
  </si>
  <si>
    <t>Catedral São João Batista</t>
  </si>
  <si>
    <t>Rua Dom Pedro II, 280</t>
  </si>
  <si>
    <t>93510-080</t>
  </si>
  <si>
    <t>Sede da Diocese de Novo Hamburgo</t>
  </si>
  <si>
    <t>Santuário Padre Reus (Paróquia Sagrado Coração de Jesus)</t>
  </si>
  <si>
    <t>Católica / Peregrinação</t>
  </si>
  <si>
    <t>Rua Padre Reus, 921</t>
  </si>
  <si>
    <t>Santuário</t>
  </si>
  <si>
    <t>93010-340</t>
  </si>
  <si>
    <t>Importante centro de romaria do Sul</t>
  </si>
  <si>
    <t>Paróquia Nossa Senhora dos Anjos</t>
  </si>
  <si>
    <t>Rua Cônego Pedro Wagner, 700</t>
  </si>
  <si>
    <t>94010-200</t>
  </si>
  <si>
    <t>Igreja histórica do centro de Gravataí</t>
  </si>
  <si>
    <t>Igreja Matriz Nossa Senhora da Conceição</t>
  </si>
  <si>
    <t>Praça Júlio de Castilhos, s/n</t>
  </si>
  <si>
    <t>94410-040</t>
  </si>
  <si>
    <t>Segunda igreja mais antiga do RS (1770)</t>
  </si>
  <si>
    <t>Igreja Matriz São Vicente de Paulo</t>
  </si>
  <si>
    <t>Av. Flores da Cunha, 1230</t>
  </si>
  <si>
    <t>Vila Imbuí</t>
  </si>
  <si>
    <t>94910-001</t>
  </si>
  <si>
    <t>Matriz da cidade</t>
  </si>
  <si>
    <t>Igreja Matriz Santo Antônio</t>
  </si>
  <si>
    <t>Rua Roberto de Souza Feijó, 50</t>
  </si>
  <si>
    <t>94810-000</t>
  </si>
  <si>
    <t>Principal referência católica no centro</t>
  </si>
  <si>
    <t>Associação Comercial de Porto Alegre (ACPA)</t>
  </si>
  <si>
    <t>Associação</t>
  </si>
  <si>
    <t>Comercial / Empresarial</t>
  </si>
  <si>
    <t>Largo Visconde de Cairú, 17 - Palácio do Comércio</t>
  </si>
  <si>
    <t>90030-110</t>
  </si>
  <si>
    <t>Fundada em 1858, sede histórica</t>
  </si>
  <si>
    <t>Associação Médica do Rio Grande do Sul (AMRIGS)</t>
  </si>
  <si>
    <t>Profissional / Saúde</t>
  </si>
  <si>
    <t>Av. Ipiranga, 5311</t>
  </si>
  <si>
    <t>90610-001</t>
  </si>
  <si>
    <t>Grande centro de eventos e saúde</t>
  </si>
  <si>
    <t>Associação dos Juízes do Rio Grande do Sul (AJURIS)</t>
  </si>
  <si>
    <t>Jurídica / Profissional</t>
  </si>
  <si>
    <t>Rua Celeste Gobbato, 81</t>
  </si>
  <si>
    <t>90110-160</t>
  </si>
  <si>
    <t>Escola Superior da Magistratura</t>
  </si>
  <si>
    <t>Associação dos Advogados de Porto Alegre</t>
  </si>
  <si>
    <t>Jurídica</t>
  </si>
  <si>
    <t>Rua dos Andradas, 1261</t>
  </si>
  <si>
    <t>90020-009</t>
  </si>
  <si>
    <t>Apoio à classe jurídica local</t>
  </si>
  <si>
    <t>Associação Leopoldina Juvenil</t>
  </si>
  <si>
    <t>Social / Esportiva</t>
  </si>
  <si>
    <t>Rua Marquês do Herval, 280</t>
  </si>
  <si>
    <t>Moinhos de Vento</t>
  </si>
  <si>
    <t>90540-000</t>
  </si>
  <si>
    <t>Clube social tradicional fundado em 1863</t>
  </si>
  <si>
    <t>Grêmio Náutico União</t>
  </si>
  <si>
    <t>Rua Quintino Bocaiúva, 500</t>
  </si>
  <si>
    <t>90440-050</t>
  </si>
  <si>
    <t>Sede Moinhos de Vento e Ilha do Pavão</t>
  </si>
  <si>
    <t>Sociedade de Ginástica Porto Alegre (SOGIPA)</t>
  </si>
  <si>
    <t>Rua Barão de Cotegipe, 400</t>
  </si>
  <si>
    <t>São João</t>
  </si>
  <si>
    <t>90540-020</t>
  </si>
  <si>
    <t>Centro olímpico e poliesportivo</t>
  </si>
  <si>
    <t>Associação Comunitária do Bairro Menino Deus</t>
  </si>
  <si>
    <t>Comunitária / Bairro</t>
  </si>
  <si>
    <t>Av. Getúlio Vargas, 1150</t>
  </si>
  <si>
    <t>90150-002</t>
  </si>
  <si>
    <t>Articulação de moradores</t>
  </si>
  <si>
    <t>Associação Riograndense de Imprensa (ARI)</t>
  </si>
  <si>
    <t>Comunicação / Imprensa</t>
  </si>
  <si>
    <t>Av. Borges de Medeiros, 860</t>
  </si>
  <si>
    <t>90020-024</t>
  </si>
  <si>
    <t>Entidade representativa de jornalistas</t>
  </si>
  <si>
    <t>Associação Brasileira de Bares e Restaurantes (ABRASEL RS)</t>
  </si>
  <si>
    <t>Setorial / Gastronomia</t>
  </si>
  <si>
    <t>Rua Tobias da Silva, 120</t>
  </si>
  <si>
    <t>90570-050</t>
  </si>
  <si>
    <t>Setor gastronômico e hotelaria</t>
  </si>
  <si>
    <t>Associação Gaúcha de Supermercados (AGAS)</t>
  </si>
  <si>
    <t>Varejo / Empresarial</t>
  </si>
  <si>
    <t>Rua Dona Margarida, 320</t>
  </si>
  <si>
    <t>90240-610</t>
  </si>
  <si>
    <t>Entidade do setor supermercadista</t>
  </si>
  <si>
    <t>Associação Beneficente Santa Zita de Lucca</t>
  </si>
  <si>
    <t>Beneficente / Filantrópica</t>
  </si>
  <si>
    <t>Rua Senhor dos Passos, 268</t>
  </si>
  <si>
    <t>Acolhimento e caridade</t>
  </si>
  <si>
    <t>Câmara de Indústria, Comércio e Serviços de Canoas (CICS Canoas)</t>
  </si>
  <si>
    <t>Empresarial / Comercial</t>
  </si>
  <si>
    <t>Rua Ipiranga, 95 - Sala 801</t>
  </si>
  <si>
    <t>92010-290</t>
  </si>
  <si>
    <t>Foco industrial e de serviços</t>
  </si>
  <si>
    <t>Associação Comercial e Industrial de Novo Hamburgo (ACI-NH)</t>
  </si>
  <si>
    <t>Empresarial / Couro-Calçado</t>
  </si>
  <si>
    <t>Rua Joaquim Pedro Soares, 540</t>
  </si>
  <si>
    <t>93510-010</t>
  </si>
  <si>
    <t>Atende NH, Campo Bom e Estância Velha</t>
  </si>
  <si>
    <t>Associação Comercial, Industrial, de Serviços de São Leopoldo (ACIST-SL)</t>
  </si>
  <si>
    <t>Empresarial</t>
  </si>
  <si>
    <t>Rua Lindolfo Collor, 439 - 5º andar</t>
  </si>
  <si>
    <t>93010-080</t>
  </si>
  <si>
    <t>Polo do Vale do Sinos</t>
  </si>
  <si>
    <t>Associação Comercial, Industrial e de Serviços de Gravataí (ACIGRA)</t>
  </si>
  <si>
    <t>Empresarial / Industrial</t>
  </si>
  <si>
    <t>Rua Prefeito José Linck, 701</t>
  </si>
  <si>
    <t>94010-160</t>
  </si>
  <si>
    <t>Polo automotivo e comercial</t>
  </si>
  <si>
    <t>Associação Comercial e Industrial de Alvorada (ACIAL)</t>
  </si>
  <si>
    <t>Comercial / Comunitária</t>
  </si>
  <si>
    <t>Av. Presidente Getúlio Vargas, 2520</t>
  </si>
  <si>
    <t>Representação do comércio local</t>
  </si>
  <si>
    <t>Associação Comercial e Industrial de Cachoeirinha (ACC)</t>
  </si>
  <si>
    <t>Av. Flores da Cunha, 4030</t>
  </si>
  <si>
    <t>Distrito Industrial</t>
  </si>
  <si>
    <t>94910-003</t>
  </si>
  <si>
    <t>Distrito industrial de Cachoeirinha</t>
  </si>
  <si>
    <t>ESCOLAS E COLÉGIOS - PORTO ALEGRE E GRANDE POA</t>
  </si>
  <si>
    <t>Instituições públicas e privadas de Ensino Básico e Médio</t>
  </si>
  <si>
    <t>IGREJAS E TEMPLOS RELIGIOSOS - PORTO ALEGRE E GRANDE POA</t>
  </si>
  <si>
    <t>Patrimônio histórico, templos católicos, protestantes e ecumênicos</t>
  </si>
  <si>
    <t>ASSOCIAÇÕES DE CLASSE, COMUNITÁRIAS E CLUBES - PORTO ALEGRE E GRANDE POA</t>
  </si>
  <si>
    <t>Entidades empresariais, sindicais, beneficentes e clubes sociais</t>
  </si>
  <si>
    <t>PAINEL DE CONTROLE &amp; ESTATÍSTICAS DO MAPEAMENTO</t>
  </si>
  <si>
    <t>Distribuição territorial e segmentação por município e categoria</t>
  </si>
  <si>
    <t>TOTAL ENTIDADES</t>
  </si>
  <si>
    <t>ESCOLAS</t>
  </si>
  <si>
    <t>IGREJAS</t>
  </si>
  <si>
    <t>ASSOCIAÇÕES</t>
  </si>
  <si>
    <t>MUNICÍPIOS CONTEMPLADOS</t>
  </si>
  <si>
    <t>8 Cidades</t>
  </si>
  <si>
    <t>Distribuição de Entidades por Município</t>
  </si>
  <si>
    <t>Região</t>
  </si>
  <si>
    <t>Escolas</t>
  </si>
  <si>
    <t>Igrejas</t>
  </si>
  <si>
    <t>Associações</t>
  </si>
  <si>
    <t>Total Geral</t>
  </si>
  <si>
    <t>Capital</t>
  </si>
  <si>
    <t>Grande POA / Metropolitana</t>
  </si>
  <si>
    <t>Vale do Sinos</t>
  </si>
  <si>
    <t>-</t>
  </si>
  <si>
    <t>Guia Rápido: Como Importar esta Planilha no Google My Maps</t>
  </si>
  <si>
    <t>1. Acesse https://mymaps.google.com e clique em 'Criar um novo mapa'.</t>
  </si>
  <si>
    <t>2. Na camada padrão, clique no botão azul 'Importar'.</t>
  </si>
  <si>
    <t>3. Selecione este arquivo .xlsx ou salve a aba 'Geral - Todas Entidades' / abas específicas.</t>
  </si>
  <si>
    <t>4. Ao selecionar as colunas de localização, marque 'Logradouro / Endereço', 'Bairro', 'Município' e 'CEP'.</t>
  </si>
  <si>
    <t>5. Ao selecionar o título dos marcadores no mapa, escolha 'Entidade / Nome'.</t>
  </si>
  <si>
    <t>6. Para colorir os pinos automaticamente, clique em 'Estilo por coluna' e escolha 'Categoria'.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</si>
</sst>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i/>
      <sz val="10"/>
      <color rgb="FFE0E0E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9"/>
      <color rgb="FF555555"/>
      <name val="Calibri"/>
      <family val="2"/>
    </font>
    <font>
      <b/>
      <sz val="18"/>
      <color rgb="FF1E3A8A"/>
      <name val="Calibri"/>
      <family val="2"/>
    </font>
    <font>
      <b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0D5C3A"/>
        <bgColor rgb="FF0D5C3A"/>
      </patternFill>
    </fill>
    <fill>
      <patternFill patternType="solid">
        <fgColor rgb="FF781822"/>
        <bgColor rgb="FF781822"/>
      </patternFill>
    </fill>
    <fill>
      <patternFill patternType="solid">
        <fgColor rgb="FF334155"/>
        <bgColor rgb="FF334155"/>
      </patternFill>
    </fill>
    <fill>
      <patternFill patternType="solid">
        <fgColor rgb="FFF1F5F9"/>
        <b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3" borderId="2" xfId="0" applyFont="1" applyFill="1" applyBorder="1"/>
    <xf numFmtId="0" fontId="4" fillId="3" borderId="2" xfId="0" applyFont="1" applyFill="1" applyBorder="1"/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/>
    <xf numFmtId="0" fontId="4" fillId="4" borderId="2" xfId="0" applyFont="1" applyFill="1" applyBorder="1"/>
    <xf numFmtId="0" fontId="7" fillId="4" borderId="2" xfId="0" applyFont="1" applyFill="1" applyBorder="1" applyAlignment="1">
      <alignment horizontal="center" vertical="center"/>
    </xf>
    <xf numFmtId="0" fontId="7" fillId="8" borderId="2" xfId="0" applyFont="1" applyFill="1" applyBorder="1"/>
    <xf numFmtId="0" fontId="7" fillId="8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  <xf numFmtId="0" fontId="6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workbookViewId="0">
      <selection sqref="A1:H1"/>
    </sheetView>
  </sheetViews>
  <sheetFormatPr baseColWidth="10" defaultColWidth="8.83203125" defaultRowHeight="15" x14ac:dyDescent="0.2"/>
  <cols>
    <col min="1" max="1" width="38" customWidth="1"/>
    <col min="2" max="2" width="14" customWidth="1"/>
    <col min="3" max="3" width="31" customWidth="1"/>
    <col min="4" max="4" width="36" customWidth="1"/>
    <col min="5" max="5" width="23" customWidth="1"/>
    <col min="6" max="6" width="17" customWidth="1"/>
    <col min="7" max="7" width="13" customWidth="1"/>
    <col min="8" max="8" width="34" customWidth="1"/>
  </cols>
  <sheetData>
    <row r="1" spans="1:8" ht="28" customHeight="1" x14ac:dyDescent="0.2">
      <c r="A1" s="26" t="s">
        <v>0</v>
      </c>
      <c r="B1" s="25"/>
      <c r="C1" s="25"/>
      <c r="D1" s="25"/>
      <c r="E1" s="25"/>
      <c r="F1" s="25"/>
      <c r="G1" s="25"/>
      <c r="H1" s="25"/>
    </row>
    <row r="2" spans="1:8" ht="18" customHeight="1" x14ac:dyDescent="0.2">
      <c r="A2" s="24" t="s">
        <v>1</v>
      </c>
      <c r="B2" s="25"/>
      <c r="C2" s="25"/>
      <c r="D2" s="25"/>
      <c r="E2" s="25"/>
      <c r="F2" s="25"/>
      <c r="G2" s="25"/>
      <c r="H2" s="25"/>
    </row>
    <row r="3" spans="1:8" ht="10" customHeight="1" x14ac:dyDescent="0.2"/>
    <row r="4" spans="1:8" ht="25" customHeight="1" x14ac:dyDescent="0.2">
      <c r="A4" s="1" t="s">
        <v>2</v>
      </c>
      <c r="B4" s="2" t="s">
        <v>3</v>
      </c>
      <c r="C4" s="1" t="s">
        <v>4</v>
      </c>
      <c r="D4" s="1" t="s">
        <v>5</v>
      </c>
      <c r="E4" s="1" t="s">
        <v>6</v>
      </c>
      <c r="F4" s="2" t="s">
        <v>7</v>
      </c>
      <c r="G4" s="2" t="s">
        <v>8</v>
      </c>
      <c r="H4" s="1" t="s">
        <v>9</v>
      </c>
    </row>
    <row r="5" spans="1:8" ht="20" customHeight="1" x14ac:dyDescent="0.2">
      <c r="A5" s="3" t="s">
        <v>10</v>
      </c>
      <c r="B5" s="4" t="s">
        <v>11</v>
      </c>
      <c r="C5" s="3" t="s">
        <v>12</v>
      </c>
      <c r="D5" s="3" t="s">
        <v>13</v>
      </c>
      <c r="E5" s="3" t="s">
        <v>14</v>
      </c>
      <c r="F5" s="4" t="s">
        <v>15</v>
      </c>
      <c r="G5" s="4" t="s">
        <v>16</v>
      </c>
      <c r="H5" s="3" t="s">
        <v>17</v>
      </c>
    </row>
    <row r="6" spans="1:8" ht="20" customHeight="1" x14ac:dyDescent="0.2">
      <c r="A6" s="5" t="s">
        <v>18</v>
      </c>
      <c r="B6" s="6" t="s">
        <v>11</v>
      </c>
      <c r="C6" s="5" t="s">
        <v>19</v>
      </c>
      <c r="D6" s="5" t="s">
        <v>20</v>
      </c>
      <c r="E6" s="5" t="s">
        <v>21</v>
      </c>
      <c r="F6" s="6" t="s">
        <v>15</v>
      </c>
      <c r="G6" s="6" t="s">
        <v>22</v>
      </c>
      <c r="H6" s="5" t="s">
        <v>17</v>
      </c>
    </row>
    <row r="7" spans="1:8" ht="20" customHeight="1" x14ac:dyDescent="0.2">
      <c r="A7" s="3" t="s">
        <v>23</v>
      </c>
      <c r="B7" s="4" t="s">
        <v>11</v>
      </c>
      <c r="C7" s="3" t="s">
        <v>24</v>
      </c>
      <c r="D7" s="3" t="s">
        <v>25</v>
      </c>
      <c r="E7" s="3" t="s">
        <v>26</v>
      </c>
      <c r="F7" s="4" t="s">
        <v>15</v>
      </c>
      <c r="G7" s="4" t="s">
        <v>27</v>
      </c>
      <c r="H7" s="3" t="s">
        <v>28</v>
      </c>
    </row>
    <row r="8" spans="1:8" ht="20" customHeight="1" x14ac:dyDescent="0.2">
      <c r="A8" s="5" t="s">
        <v>29</v>
      </c>
      <c r="B8" s="6" t="s">
        <v>11</v>
      </c>
      <c r="C8" s="5" t="s">
        <v>24</v>
      </c>
      <c r="D8" s="5" t="s">
        <v>30</v>
      </c>
      <c r="E8" s="5" t="s">
        <v>31</v>
      </c>
      <c r="F8" s="6" t="s">
        <v>15</v>
      </c>
      <c r="G8" s="6" t="s">
        <v>32</v>
      </c>
      <c r="H8" s="5" t="s">
        <v>33</v>
      </c>
    </row>
    <row r="9" spans="1:8" ht="20" customHeight="1" x14ac:dyDescent="0.2">
      <c r="A9" s="3" t="s">
        <v>34</v>
      </c>
      <c r="B9" s="4" t="s">
        <v>11</v>
      </c>
      <c r="C9" s="3" t="s">
        <v>35</v>
      </c>
      <c r="D9" s="3" t="s">
        <v>36</v>
      </c>
      <c r="E9" s="3" t="s">
        <v>37</v>
      </c>
      <c r="F9" s="4" t="s">
        <v>15</v>
      </c>
      <c r="G9" s="4" t="s">
        <v>38</v>
      </c>
      <c r="H9" s="3" t="s">
        <v>39</v>
      </c>
    </row>
    <row r="10" spans="1:8" ht="20" customHeight="1" x14ac:dyDescent="0.2">
      <c r="A10" s="5" t="s">
        <v>40</v>
      </c>
      <c r="B10" s="6" t="s">
        <v>11</v>
      </c>
      <c r="C10" s="5" t="s">
        <v>41</v>
      </c>
      <c r="D10" s="5" t="s">
        <v>42</v>
      </c>
      <c r="E10" s="5" t="s">
        <v>43</v>
      </c>
      <c r="F10" s="6" t="s">
        <v>15</v>
      </c>
      <c r="G10" s="6" t="s">
        <v>44</v>
      </c>
      <c r="H10" s="5" t="s">
        <v>45</v>
      </c>
    </row>
    <row r="11" spans="1:8" ht="20" customHeight="1" x14ac:dyDescent="0.2">
      <c r="A11" s="3" t="s">
        <v>46</v>
      </c>
      <c r="B11" s="4" t="s">
        <v>11</v>
      </c>
      <c r="C11" s="3" t="s">
        <v>41</v>
      </c>
      <c r="D11" s="3" t="s">
        <v>47</v>
      </c>
      <c r="E11" s="3" t="s">
        <v>48</v>
      </c>
      <c r="F11" s="4" t="s">
        <v>15</v>
      </c>
      <c r="G11" s="4" t="s">
        <v>49</v>
      </c>
      <c r="H11" s="3" t="s">
        <v>50</v>
      </c>
    </row>
    <row r="12" spans="1:8" ht="20" customHeight="1" x14ac:dyDescent="0.2">
      <c r="A12" s="5" t="s">
        <v>51</v>
      </c>
      <c r="B12" s="6" t="s">
        <v>11</v>
      </c>
      <c r="C12" s="5" t="s">
        <v>52</v>
      </c>
      <c r="D12" s="5" t="s">
        <v>53</v>
      </c>
      <c r="E12" s="5" t="s">
        <v>54</v>
      </c>
      <c r="F12" s="6" t="s">
        <v>15</v>
      </c>
      <c r="G12" s="6" t="s">
        <v>55</v>
      </c>
      <c r="H12" s="5" t="s">
        <v>56</v>
      </c>
    </row>
    <row r="13" spans="1:8" ht="20" customHeight="1" x14ac:dyDescent="0.2">
      <c r="A13" s="3" t="s">
        <v>57</v>
      </c>
      <c r="B13" s="4" t="s">
        <v>11</v>
      </c>
      <c r="C13" s="3" t="s">
        <v>58</v>
      </c>
      <c r="D13" s="3" t="s">
        <v>59</v>
      </c>
      <c r="E13" s="3" t="s">
        <v>60</v>
      </c>
      <c r="F13" s="4" t="s">
        <v>15</v>
      </c>
      <c r="G13" s="4" t="s">
        <v>61</v>
      </c>
      <c r="H13" s="3" t="s">
        <v>62</v>
      </c>
    </row>
    <row r="14" spans="1:8" ht="20" customHeight="1" x14ac:dyDescent="0.2">
      <c r="A14" s="5" t="s">
        <v>63</v>
      </c>
      <c r="B14" s="6" t="s">
        <v>11</v>
      </c>
      <c r="C14" s="5" t="s">
        <v>64</v>
      </c>
      <c r="D14" s="5" t="s">
        <v>65</v>
      </c>
      <c r="E14" s="5" t="s">
        <v>66</v>
      </c>
      <c r="F14" s="6" t="s">
        <v>15</v>
      </c>
      <c r="G14" s="6" t="s">
        <v>67</v>
      </c>
      <c r="H14" s="5" t="s">
        <v>68</v>
      </c>
    </row>
    <row r="15" spans="1:8" ht="20" customHeight="1" x14ac:dyDescent="0.2">
      <c r="A15" s="3" t="s">
        <v>69</v>
      </c>
      <c r="B15" s="4" t="s">
        <v>11</v>
      </c>
      <c r="C15" s="3" t="s">
        <v>70</v>
      </c>
      <c r="D15" s="3" t="s">
        <v>71</v>
      </c>
      <c r="E15" s="3" t="s">
        <v>31</v>
      </c>
      <c r="F15" s="4" t="s">
        <v>15</v>
      </c>
      <c r="G15" s="4" t="s">
        <v>72</v>
      </c>
      <c r="H15" s="3" t="s">
        <v>73</v>
      </c>
    </row>
    <row r="16" spans="1:8" ht="20" customHeight="1" x14ac:dyDescent="0.2">
      <c r="A16" s="5" t="s">
        <v>74</v>
      </c>
      <c r="B16" s="6" t="s">
        <v>11</v>
      </c>
      <c r="C16" s="5" t="s">
        <v>75</v>
      </c>
      <c r="D16" s="5" t="s">
        <v>76</v>
      </c>
      <c r="E16" s="5" t="s">
        <v>77</v>
      </c>
      <c r="F16" s="6" t="s">
        <v>15</v>
      </c>
      <c r="G16" s="6" t="s">
        <v>78</v>
      </c>
      <c r="H16" s="5" t="s">
        <v>79</v>
      </c>
    </row>
    <row r="17" spans="1:8" ht="20" customHeight="1" x14ac:dyDescent="0.2">
      <c r="A17" s="3" t="s">
        <v>80</v>
      </c>
      <c r="B17" s="4" t="s">
        <v>11</v>
      </c>
      <c r="C17" s="3" t="s">
        <v>81</v>
      </c>
      <c r="D17" s="3" t="s">
        <v>82</v>
      </c>
      <c r="E17" s="3" t="s">
        <v>77</v>
      </c>
      <c r="F17" s="4" t="s">
        <v>15</v>
      </c>
      <c r="G17" s="4" t="s">
        <v>83</v>
      </c>
      <c r="H17" s="3" t="s">
        <v>84</v>
      </c>
    </row>
    <row r="18" spans="1:8" ht="20" customHeight="1" x14ac:dyDescent="0.2">
      <c r="A18" s="5" t="s">
        <v>85</v>
      </c>
      <c r="B18" s="6" t="s">
        <v>11</v>
      </c>
      <c r="C18" s="5" t="s">
        <v>64</v>
      </c>
      <c r="D18" s="5" t="s">
        <v>86</v>
      </c>
      <c r="E18" s="5" t="s">
        <v>77</v>
      </c>
      <c r="F18" s="6" t="s">
        <v>15</v>
      </c>
      <c r="G18" s="6" t="s">
        <v>87</v>
      </c>
      <c r="H18" s="5" t="s">
        <v>88</v>
      </c>
    </row>
    <row r="19" spans="1:8" ht="20" customHeight="1" x14ac:dyDescent="0.2">
      <c r="A19" s="3" t="s">
        <v>89</v>
      </c>
      <c r="B19" s="4" t="s">
        <v>11</v>
      </c>
      <c r="C19" s="3" t="s">
        <v>90</v>
      </c>
      <c r="D19" s="3" t="s">
        <v>91</v>
      </c>
      <c r="E19" s="3" t="s">
        <v>77</v>
      </c>
      <c r="F19" s="4" t="s">
        <v>15</v>
      </c>
      <c r="G19" s="4" t="s">
        <v>92</v>
      </c>
      <c r="H19" s="3" t="s">
        <v>93</v>
      </c>
    </row>
    <row r="20" spans="1:8" ht="20" customHeight="1" x14ac:dyDescent="0.2">
      <c r="A20" s="5" t="s">
        <v>94</v>
      </c>
      <c r="B20" s="6" t="s">
        <v>11</v>
      </c>
      <c r="C20" s="5" t="s">
        <v>75</v>
      </c>
      <c r="D20" s="5" t="s">
        <v>95</v>
      </c>
      <c r="E20" s="5" t="s">
        <v>96</v>
      </c>
      <c r="F20" s="6" t="s">
        <v>97</v>
      </c>
      <c r="G20" s="6" t="s">
        <v>98</v>
      </c>
      <c r="H20" s="5" t="s">
        <v>99</v>
      </c>
    </row>
    <row r="21" spans="1:8" ht="20" customHeight="1" x14ac:dyDescent="0.2">
      <c r="A21" s="3" t="s">
        <v>100</v>
      </c>
      <c r="B21" s="4" t="s">
        <v>11</v>
      </c>
      <c r="C21" s="3" t="s">
        <v>52</v>
      </c>
      <c r="D21" s="3" t="s">
        <v>101</v>
      </c>
      <c r="E21" s="3" t="s">
        <v>96</v>
      </c>
      <c r="F21" s="4" t="s">
        <v>97</v>
      </c>
      <c r="G21" s="4" t="s">
        <v>102</v>
      </c>
      <c r="H21" s="3" t="s">
        <v>103</v>
      </c>
    </row>
    <row r="22" spans="1:8" ht="20" customHeight="1" x14ac:dyDescent="0.2">
      <c r="A22" s="5" t="s">
        <v>104</v>
      </c>
      <c r="B22" s="6" t="s">
        <v>11</v>
      </c>
      <c r="C22" s="5" t="s">
        <v>105</v>
      </c>
      <c r="D22" s="5" t="s">
        <v>106</v>
      </c>
      <c r="E22" s="5" t="s">
        <v>107</v>
      </c>
      <c r="F22" s="6" t="s">
        <v>108</v>
      </c>
      <c r="G22" s="6" t="s">
        <v>109</v>
      </c>
      <c r="H22" s="5" t="s">
        <v>110</v>
      </c>
    </row>
    <row r="23" spans="1:8" ht="20" customHeight="1" x14ac:dyDescent="0.2">
      <c r="A23" s="3" t="s">
        <v>111</v>
      </c>
      <c r="B23" s="4" t="s">
        <v>11</v>
      </c>
      <c r="C23" s="3" t="s">
        <v>52</v>
      </c>
      <c r="D23" s="3" t="s">
        <v>112</v>
      </c>
      <c r="E23" s="3" t="s">
        <v>96</v>
      </c>
      <c r="F23" s="4" t="s">
        <v>113</v>
      </c>
      <c r="G23" s="4" t="s">
        <v>114</v>
      </c>
      <c r="H23" s="3" t="s">
        <v>115</v>
      </c>
    </row>
    <row r="24" spans="1:8" ht="20" customHeight="1" x14ac:dyDescent="0.2">
      <c r="A24" s="5" t="s">
        <v>116</v>
      </c>
      <c r="B24" s="6" t="s">
        <v>11</v>
      </c>
      <c r="C24" s="5" t="s">
        <v>70</v>
      </c>
      <c r="D24" s="5" t="s">
        <v>117</v>
      </c>
      <c r="E24" s="5" t="s">
        <v>96</v>
      </c>
      <c r="F24" s="6" t="s">
        <v>118</v>
      </c>
      <c r="G24" s="6" t="s">
        <v>119</v>
      </c>
      <c r="H24" s="5" t="s">
        <v>120</v>
      </c>
    </row>
    <row r="25" spans="1:8" ht="20" customHeight="1" x14ac:dyDescent="0.2">
      <c r="A25" s="3" t="s">
        <v>121</v>
      </c>
      <c r="B25" s="4" t="s">
        <v>11</v>
      </c>
      <c r="C25" s="3" t="s">
        <v>24</v>
      </c>
      <c r="D25" s="3" t="s">
        <v>122</v>
      </c>
      <c r="E25" s="3" t="s">
        <v>123</v>
      </c>
      <c r="F25" s="4" t="s">
        <v>124</v>
      </c>
      <c r="G25" s="4" t="s">
        <v>125</v>
      </c>
      <c r="H25" s="3" t="s">
        <v>126</v>
      </c>
    </row>
    <row r="26" spans="1:8" ht="20" customHeight="1" x14ac:dyDescent="0.2">
      <c r="A26" s="5" t="s">
        <v>127</v>
      </c>
      <c r="B26" s="6" t="s">
        <v>11</v>
      </c>
      <c r="C26" s="5" t="s">
        <v>81</v>
      </c>
      <c r="D26" s="5" t="s">
        <v>128</v>
      </c>
      <c r="E26" s="5" t="s">
        <v>129</v>
      </c>
      <c r="F26" s="6" t="s">
        <v>130</v>
      </c>
      <c r="G26" s="6" t="s">
        <v>131</v>
      </c>
      <c r="H26" s="5" t="s">
        <v>132</v>
      </c>
    </row>
    <row r="27" spans="1:8" ht="20" customHeight="1" x14ac:dyDescent="0.2">
      <c r="A27" s="3" t="s">
        <v>133</v>
      </c>
      <c r="B27" s="4" t="s">
        <v>11</v>
      </c>
      <c r="C27" s="3" t="s">
        <v>134</v>
      </c>
      <c r="D27" s="3" t="s">
        <v>135</v>
      </c>
      <c r="E27" s="3" t="s">
        <v>96</v>
      </c>
      <c r="F27" s="4" t="s">
        <v>136</v>
      </c>
      <c r="G27" s="4" t="s">
        <v>137</v>
      </c>
      <c r="H27" s="3" t="s">
        <v>138</v>
      </c>
    </row>
    <row r="28" spans="1:8" ht="20" customHeight="1" x14ac:dyDescent="0.2">
      <c r="A28" s="5" t="s">
        <v>139</v>
      </c>
      <c r="B28" s="6" t="s">
        <v>140</v>
      </c>
      <c r="C28" s="5" t="s">
        <v>141</v>
      </c>
      <c r="D28" s="5" t="s">
        <v>142</v>
      </c>
      <c r="E28" s="5" t="s">
        <v>77</v>
      </c>
      <c r="F28" s="6" t="s">
        <v>15</v>
      </c>
      <c r="G28" s="6" t="s">
        <v>143</v>
      </c>
      <c r="H28" s="5" t="s">
        <v>144</v>
      </c>
    </row>
    <row r="29" spans="1:8" ht="20" customHeight="1" x14ac:dyDescent="0.2">
      <c r="A29" s="3" t="s">
        <v>145</v>
      </c>
      <c r="B29" s="4" t="s">
        <v>140</v>
      </c>
      <c r="C29" s="3" t="s">
        <v>141</v>
      </c>
      <c r="D29" s="3" t="s">
        <v>146</v>
      </c>
      <c r="E29" s="3" t="s">
        <v>77</v>
      </c>
      <c r="F29" s="4" t="s">
        <v>15</v>
      </c>
      <c r="G29" s="4" t="s">
        <v>147</v>
      </c>
      <c r="H29" s="3" t="s">
        <v>148</v>
      </c>
    </row>
    <row r="30" spans="1:8" ht="20" customHeight="1" x14ac:dyDescent="0.2">
      <c r="A30" s="5" t="s">
        <v>149</v>
      </c>
      <c r="B30" s="6" t="s">
        <v>140</v>
      </c>
      <c r="C30" s="5" t="s">
        <v>141</v>
      </c>
      <c r="D30" s="5" t="s">
        <v>150</v>
      </c>
      <c r="E30" s="5" t="s">
        <v>77</v>
      </c>
      <c r="F30" s="6" t="s">
        <v>15</v>
      </c>
      <c r="G30" s="6" t="s">
        <v>151</v>
      </c>
      <c r="H30" s="5" t="s">
        <v>152</v>
      </c>
    </row>
    <row r="31" spans="1:8" ht="20" customHeight="1" x14ac:dyDescent="0.2">
      <c r="A31" s="3" t="s">
        <v>153</v>
      </c>
      <c r="B31" s="4" t="s">
        <v>140</v>
      </c>
      <c r="C31" s="3" t="s">
        <v>141</v>
      </c>
      <c r="D31" s="3" t="s">
        <v>154</v>
      </c>
      <c r="E31" s="3" t="s">
        <v>66</v>
      </c>
      <c r="F31" s="4" t="s">
        <v>15</v>
      </c>
      <c r="G31" s="4" t="s">
        <v>155</v>
      </c>
      <c r="H31" s="3" t="s">
        <v>156</v>
      </c>
    </row>
    <row r="32" spans="1:8" ht="20" customHeight="1" x14ac:dyDescent="0.2">
      <c r="A32" s="5" t="s">
        <v>157</v>
      </c>
      <c r="B32" s="6" t="s">
        <v>140</v>
      </c>
      <c r="C32" s="5" t="s">
        <v>141</v>
      </c>
      <c r="D32" s="5" t="s">
        <v>158</v>
      </c>
      <c r="E32" s="5" t="s">
        <v>77</v>
      </c>
      <c r="F32" s="6" t="s">
        <v>15</v>
      </c>
      <c r="G32" s="6" t="s">
        <v>159</v>
      </c>
      <c r="H32" s="5" t="s">
        <v>160</v>
      </c>
    </row>
    <row r="33" spans="1:8" ht="20" customHeight="1" x14ac:dyDescent="0.2">
      <c r="A33" s="3" t="s">
        <v>161</v>
      </c>
      <c r="B33" s="4" t="s">
        <v>140</v>
      </c>
      <c r="C33" s="3" t="s">
        <v>141</v>
      </c>
      <c r="D33" s="3" t="s">
        <v>162</v>
      </c>
      <c r="E33" s="3" t="s">
        <v>163</v>
      </c>
      <c r="F33" s="4" t="s">
        <v>15</v>
      </c>
      <c r="G33" s="4" t="s">
        <v>164</v>
      </c>
      <c r="H33" s="3" t="s">
        <v>165</v>
      </c>
    </row>
    <row r="34" spans="1:8" ht="20" customHeight="1" x14ac:dyDescent="0.2">
      <c r="A34" s="5" t="s">
        <v>166</v>
      </c>
      <c r="B34" s="6" t="s">
        <v>140</v>
      </c>
      <c r="C34" s="5" t="s">
        <v>141</v>
      </c>
      <c r="D34" s="5" t="s">
        <v>167</v>
      </c>
      <c r="E34" s="5" t="s">
        <v>168</v>
      </c>
      <c r="F34" s="6" t="s">
        <v>15</v>
      </c>
      <c r="G34" s="6" t="s">
        <v>169</v>
      </c>
      <c r="H34" s="5" t="s">
        <v>170</v>
      </c>
    </row>
    <row r="35" spans="1:8" ht="20" customHeight="1" x14ac:dyDescent="0.2">
      <c r="A35" s="3" t="s">
        <v>171</v>
      </c>
      <c r="B35" s="4" t="s">
        <v>140</v>
      </c>
      <c r="C35" s="3" t="s">
        <v>172</v>
      </c>
      <c r="D35" s="3" t="s">
        <v>173</v>
      </c>
      <c r="E35" s="3" t="s">
        <v>77</v>
      </c>
      <c r="F35" s="4" t="s">
        <v>15</v>
      </c>
      <c r="G35" s="4" t="s">
        <v>174</v>
      </c>
      <c r="H35" s="3" t="s">
        <v>175</v>
      </c>
    </row>
    <row r="36" spans="1:8" ht="20" customHeight="1" x14ac:dyDescent="0.2">
      <c r="A36" s="5" t="s">
        <v>176</v>
      </c>
      <c r="B36" s="6" t="s">
        <v>140</v>
      </c>
      <c r="C36" s="5" t="s">
        <v>177</v>
      </c>
      <c r="D36" s="5" t="s">
        <v>178</v>
      </c>
      <c r="E36" s="5" t="s">
        <v>129</v>
      </c>
      <c r="F36" s="6" t="s">
        <v>15</v>
      </c>
      <c r="G36" s="6" t="s">
        <v>179</v>
      </c>
      <c r="H36" s="5" t="s">
        <v>180</v>
      </c>
    </row>
    <row r="37" spans="1:8" ht="20" customHeight="1" x14ac:dyDescent="0.2">
      <c r="A37" s="3" t="s">
        <v>181</v>
      </c>
      <c r="B37" s="4" t="s">
        <v>140</v>
      </c>
      <c r="C37" s="3" t="s">
        <v>182</v>
      </c>
      <c r="D37" s="3" t="s">
        <v>183</v>
      </c>
      <c r="E37" s="3" t="s">
        <v>77</v>
      </c>
      <c r="F37" s="4" t="s">
        <v>15</v>
      </c>
      <c r="G37" s="4" t="s">
        <v>184</v>
      </c>
      <c r="H37" s="3" t="s">
        <v>185</v>
      </c>
    </row>
    <row r="38" spans="1:8" ht="20" customHeight="1" x14ac:dyDescent="0.2">
      <c r="A38" s="5" t="s">
        <v>186</v>
      </c>
      <c r="B38" s="6" t="s">
        <v>140</v>
      </c>
      <c r="C38" s="5" t="s">
        <v>187</v>
      </c>
      <c r="D38" s="5" t="s">
        <v>188</v>
      </c>
      <c r="E38" s="5" t="s">
        <v>189</v>
      </c>
      <c r="F38" s="6" t="s">
        <v>15</v>
      </c>
      <c r="G38" s="6" t="s">
        <v>190</v>
      </c>
      <c r="H38" s="5" t="s">
        <v>191</v>
      </c>
    </row>
    <row r="39" spans="1:8" ht="20" customHeight="1" x14ac:dyDescent="0.2">
      <c r="A39" s="3" t="s">
        <v>192</v>
      </c>
      <c r="B39" s="4" t="s">
        <v>140</v>
      </c>
      <c r="C39" s="3" t="s">
        <v>193</v>
      </c>
      <c r="D39" s="3" t="s">
        <v>194</v>
      </c>
      <c r="E39" s="3" t="s">
        <v>77</v>
      </c>
      <c r="F39" s="4" t="s">
        <v>15</v>
      </c>
      <c r="G39" s="4" t="s">
        <v>195</v>
      </c>
      <c r="H39" s="3" t="s">
        <v>196</v>
      </c>
    </row>
    <row r="40" spans="1:8" ht="20" customHeight="1" x14ac:dyDescent="0.2">
      <c r="A40" s="5" t="s">
        <v>197</v>
      </c>
      <c r="B40" s="6" t="s">
        <v>140</v>
      </c>
      <c r="C40" s="5" t="s">
        <v>198</v>
      </c>
      <c r="D40" s="5" t="s">
        <v>199</v>
      </c>
      <c r="E40" s="5" t="s">
        <v>54</v>
      </c>
      <c r="F40" s="6" t="s">
        <v>15</v>
      </c>
      <c r="G40" s="6" t="s">
        <v>200</v>
      </c>
      <c r="H40" s="5" t="s">
        <v>201</v>
      </c>
    </row>
    <row r="41" spans="1:8" ht="20" customHeight="1" x14ac:dyDescent="0.2">
      <c r="A41" s="3" t="s">
        <v>202</v>
      </c>
      <c r="B41" s="4" t="s">
        <v>140</v>
      </c>
      <c r="C41" s="3" t="s">
        <v>141</v>
      </c>
      <c r="D41" s="3" t="s">
        <v>203</v>
      </c>
      <c r="E41" s="3" t="s">
        <v>204</v>
      </c>
      <c r="F41" s="4" t="s">
        <v>15</v>
      </c>
      <c r="G41" s="4" t="s">
        <v>205</v>
      </c>
      <c r="H41" s="3" t="s">
        <v>206</v>
      </c>
    </row>
    <row r="42" spans="1:8" ht="20" customHeight="1" x14ac:dyDescent="0.2">
      <c r="A42" s="5" t="s">
        <v>207</v>
      </c>
      <c r="B42" s="6" t="s">
        <v>140</v>
      </c>
      <c r="C42" s="5" t="s">
        <v>141</v>
      </c>
      <c r="D42" s="5" t="s">
        <v>208</v>
      </c>
      <c r="E42" s="5" t="s">
        <v>96</v>
      </c>
      <c r="F42" s="6" t="s">
        <v>97</v>
      </c>
      <c r="G42" s="6" t="s">
        <v>209</v>
      </c>
      <c r="H42" s="5" t="s">
        <v>210</v>
      </c>
    </row>
    <row r="43" spans="1:8" ht="20" customHeight="1" x14ac:dyDescent="0.2">
      <c r="A43" s="3" t="s">
        <v>211</v>
      </c>
      <c r="B43" s="4" t="s">
        <v>140</v>
      </c>
      <c r="C43" s="3" t="s">
        <v>141</v>
      </c>
      <c r="D43" s="3" t="s">
        <v>212</v>
      </c>
      <c r="E43" s="3" t="s">
        <v>96</v>
      </c>
      <c r="F43" s="4" t="s">
        <v>113</v>
      </c>
      <c r="G43" s="4" t="s">
        <v>213</v>
      </c>
      <c r="H43" s="3" t="s">
        <v>214</v>
      </c>
    </row>
    <row r="44" spans="1:8" ht="20" customHeight="1" x14ac:dyDescent="0.2">
      <c r="A44" s="5" t="s">
        <v>215</v>
      </c>
      <c r="B44" s="6" t="s">
        <v>140</v>
      </c>
      <c r="C44" s="5" t="s">
        <v>216</v>
      </c>
      <c r="D44" s="5" t="s">
        <v>217</v>
      </c>
      <c r="E44" s="5" t="s">
        <v>218</v>
      </c>
      <c r="F44" s="6" t="s">
        <v>108</v>
      </c>
      <c r="G44" s="6" t="s">
        <v>219</v>
      </c>
      <c r="H44" s="5" t="s">
        <v>220</v>
      </c>
    </row>
    <row r="45" spans="1:8" ht="20" customHeight="1" x14ac:dyDescent="0.2">
      <c r="A45" s="3" t="s">
        <v>221</v>
      </c>
      <c r="B45" s="4" t="s">
        <v>140</v>
      </c>
      <c r="C45" s="3" t="s">
        <v>141</v>
      </c>
      <c r="D45" s="3" t="s">
        <v>222</v>
      </c>
      <c r="E45" s="3" t="s">
        <v>96</v>
      </c>
      <c r="F45" s="4" t="s">
        <v>118</v>
      </c>
      <c r="G45" s="4" t="s">
        <v>223</v>
      </c>
      <c r="H45" s="3" t="s">
        <v>224</v>
      </c>
    </row>
    <row r="46" spans="1:8" ht="20" customHeight="1" x14ac:dyDescent="0.2">
      <c r="A46" s="5" t="s">
        <v>225</v>
      </c>
      <c r="B46" s="6" t="s">
        <v>140</v>
      </c>
      <c r="C46" s="5" t="s">
        <v>141</v>
      </c>
      <c r="D46" s="5" t="s">
        <v>226</v>
      </c>
      <c r="E46" s="5" t="s">
        <v>96</v>
      </c>
      <c r="F46" s="6" t="s">
        <v>124</v>
      </c>
      <c r="G46" s="6" t="s">
        <v>227</v>
      </c>
      <c r="H46" s="5" t="s">
        <v>228</v>
      </c>
    </row>
    <row r="47" spans="1:8" ht="20" customHeight="1" x14ac:dyDescent="0.2">
      <c r="A47" s="3" t="s">
        <v>229</v>
      </c>
      <c r="B47" s="4" t="s">
        <v>140</v>
      </c>
      <c r="C47" s="3" t="s">
        <v>141</v>
      </c>
      <c r="D47" s="3" t="s">
        <v>230</v>
      </c>
      <c r="E47" s="3" t="s">
        <v>231</v>
      </c>
      <c r="F47" s="4" t="s">
        <v>136</v>
      </c>
      <c r="G47" s="4" t="s">
        <v>232</v>
      </c>
      <c r="H47" s="3" t="s">
        <v>233</v>
      </c>
    </row>
    <row r="48" spans="1:8" ht="20" customHeight="1" x14ac:dyDescent="0.2">
      <c r="A48" s="5" t="s">
        <v>234</v>
      </c>
      <c r="B48" s="6" t="s">
        <v>140</v>
      </c>
      <c r="C48" s="5" t="s">
        <v>141</v>
      </c>
      <c r="D48" s="5" t="s">
        <v>235</v>
      </c>
      <c r="E48" s="5" t="s">
        <v>129</v>
      </c>
      <c r="F48" s="6" t="s">
        <v>130</v>
      </c>
      <c r="G48" s="6" t="s">
        <v>236</v>
      </c>
      <c r="H48" s="5" t="s">
        <v>237</v>
      </c>
    </row>
    <row r="49" spans="1:8" ht="20" customHeight="1" x14ac:dyDescent="0.2">
      <c r="A49" s="3" t="s">
        <v>238</v>
      </c>
      <c r="B49" s="4" t="s">
        <v>239</v>
      </c>
      <c r="C49" s="3" t="s">
        <v>240</v>
      </c>
      <c r="D49" s="3" t="s">
        <v>241</v>
      </c>
      <c r="E49" s="3" t="s">
        <v>77</v>
      </c>
      <c r="F49" s="4" t="s">
        <v>15</v>
      </c>
      <c r="G49" s="4" t="s">
        <v>242</v>
      </c>
      <c r="H49" s="3" t="s">
        <v>243</v>
      </c>
    </row>
    <row r="50" spans="1:8" ht="20" customHeight="1" x14ac:dyDescent="0.2">
      <c r="A50" s="5" t="s">
        <v>244</v>
      </c>
      <c r="B50" s="6" t="s">
        <v>239</v>
      </c>
      <c r="C50" s="5" t="s">
        <v>245</v>
      </c>
      <c r="D50" s="5" t="s">
        <v>246</v>
      </c>
      <c r="E50" s="5" t="s">
        <v>26</v>
      </c>
      <c r="F50" s="6" t="s">
        <v>15</v>
      </c>
      <c r="G50" s="6" t="s">
        <v>247</v>
      </c>
      <c r="H50" s="5" t="s">
        <v>248</v>
      </c>
    </row>
    <row r="51" spans="1:8" ht="20" customHeight="1" x14ac:dyDescent="0.2">
      <c r="A51" s="3" t="s">
        <v>249</v>
      </c>
      <c r="B51" s="4" t="s">
        <v>239</v>
      </c>
      <c r="C51" s="3" t="s">
        <v>250</v>
      </c>
      <c r="D51" s="3" t="s">
        <v>251</v>
      </c>
      <c r="E51" s="3" t="s">
        <v>204</v>
      </c>
      <c r="F51" s="4" t="s">
        <v>15</v>
      </c>
      <c r="G51" s="4" t="s">
        <v>252</v>
      </c>
      <c r="H51" s="3" t="s">
        <v>253</v>
      </c>
    </row>
    <row r="52" spans="1:8" ht="20" customHeight="1" x14ac:dyDescent="0.2">
      <c r="A52" s="5" t="s">
        <v>254</v>
      </c>
      <c r="B52" s="6" t="s">
        <v>239</v>
      </c>
      <c r="C52" s="5" t="s">
        <v>255</v>
      </c>
      <c r="D52" s="5" t="s">
        <v>256</v>
      </c>
      <c r="E52" s="5" t="s">
        <v>77</v>
      </c>
      <c r="F52" s="6" t="s">
        <v>15</v>
      </c>
      <c r="G52" s="6" t="s">
        <v>257</v>
      </c>
      <c r="H52" s="5" t="s">
        <v>258</v>
      </c>
    </row>
    <row r="53" spans="1:8" ht="20" customHeight="1" x14ac:dyDescent="0.2">
      <c r="A53" s="3" t="s">
        <v>259</v>
      </c>
      <c r="B53" s="4" t="s">
        <v>239</v>
      </c>
      <c r="C53" s="3" t="s">
        <v>260</v>
      </c>
      <c r="D53" s="3" t="s">
        <v>261</v>
      </c>
      <c r="E53" s="3" t="s">
        <v>262</v>
      </c>
      <c r="F53" s="4" t="s">
        <v>15</v>
      </c>
      <c r="G53" s="4" t="s">
        <v>263</v>
      </c>
      <c r="H53" s="3" t="s">
        <v>264</v>
      </c>
    </row>
    <row r="54" spans="1:8" ht="20" customHeight="1" x14ac:dyDescent="0.2">
      <c r="A54" s="5" t="s">
        <v>265</v>
      </c>
      <c r="B54" s="6" t="s">
        <v>239</v>
      </c>
      <c r="C54" s="5" t="s">
        <v>260</v>
      </c>
      <c r="D54" s="5" t="s">
        <v>266</v>
      </c>
      <c r="E54" s="5" t="s">
        <v>262</v>
      </c>
      <c r="F54" s="6" t="s">
        <v>15</v>
      </c>
      <c r="G54" s="6" t="s">
        <v>267</v>
      </c>
      <c r="H54" s="5" t="s">
        <v>268</v>
      </c>
    </row>
    <row r="55" spans="1:8" ht="20" customHeight="1" x14ac:dyDescent="0.2">
      <c r="A55" s="3" t="s">
        <v>269</v>
      </c>
      <c r="B55" s="4" t="s">
        <v>239</v>
      </c>
      <c r="C55" s="3" t="s">
        <v>260</v>
      </c>
      <c r="D55" s="3" t="s">
        <v>270</v>
      </c>
      <c r="E55" s="3" t="s">
        <v>271</v>
      </c>
      <c r="F55" s="4" t="s">
        <v>15</v>
      </c>
      <c r="G55" s="4" t="s">
        <v>272</v>
      </c>
      <c r="H55" s="3" t="s">
        <v>273</v>
      </c>
    </row>
    <row r="56" spans="1:8" ht="20" customHeight="1" x14ac:dyDescent="0.2">
      <c r="A56" s="5" t="s">
        <v>274</v>
      </c>
      <c r="B56" s="6" t="s">
        <v>239</v>
      </c>
      <c r="C56" s="5" t="s">
        <v>275</v>
      </c>
      <c r="D56" s="5" t="s">
        <v>276</v>
      </c>
      <c r="E56" s="5" t="s">
        <v>168</v>
      </c>
      <c r="F56" s="6" t="s">
        <v>15</v>
      </c>
      <c r="G56" s="6" t="s">
        <v>277</v>
      </c>
      <c r="H56" s="5" t="s">
        <v>278</v>
      </c>
    </row>
    <row r="57" spans="1:8" ht="20" customHeight="1" x14ac:dyDescent="0.2">
      <c r="A57" s="3" t="s">
        <v>279</v>
      </c>
      <c r="B57" s="4" t="s">
        <v>239</v>
      </c>
      <c r="C57" s="3" t="s">
        <v>280</v>
      </c>
      <c r="D57" s="3" t="s">
        <v>281</v>
      </c>
      <c r="E57" s="3" t="s">
        <v>77</v>
      </c>
      <c r="F57" s="4" t="s">
        <v>15</v>
      </c>
      <c r="G57" s="4" t="s">
        <v>282</v>
      </c>
      <c r="H57" s="3" t="s">
        <v>283</v>
      </c>
    </row>
    <row r="58" spans="1:8" ht="20" customHeight="1" x14ac:dyDescent="0.2">
      <c r="A58" s="5" t="s">
        <v>284</v>
      </c>
      <c r="B58" s="6" t="s">
        <v>239</v>
      </c>
      <c r="C58" s="5" t="s">
        <v>285</v>
      </c>
      <c r="D58" s="5" t="s">
        <v>286</v>
      </c>
      <c r="E58" s="5" t="s">
        <v>262</v>
      </c>
      <c r="F58" s="6" t="s">
        <v>15</v>
      </c>
      <c r="G58" s="6" t="s">
        <v>287</v>
      </c>
      <c r="H58" s="5" t="s">
        <v>288</v>
      </c>
    </row>
    <row r="59" spans="1:8" ht="20" customHeight="1" x14ac:dyDescent="0.2">
      <c r="A59" s="3" t="s">
        <v>289</v>
      </c>
      <c r="B59" s="4" t="s">
        <v>239</v>
      </c>
      <c r="C59" s="3" t="s">
        <v>290</v>
      </c>
      <c r="D59" s="3" t="s">
        <v>291</v>
      </c>
      <c r="E59" s="3" t="s">
        <v>163</v>
      </c>
      <c r="F59" s="4" t="s">
        <v>15</v>
      </c>
      <c r="G59" s="4" t="s">
        <v>292</v>
      </c>
      <c r="H59" s="3" t="s">
        <v>293</v>
      </c>
    </row>
    <row r="60" spans="1:8" ht="20" customHeight="1" x14ac:dyDescent="0.2">
      <c r="A60" s="5" t="s">
        <v>294</v>
      </c>
      <c r="B60" s="6" t="s">
        <v>239</v>
      </c>
      <c r="C60" s="5" t="s">
        <v>295</v>
      </c>
      <c r="D60" s="5" t="s">
        <v>296</v>
      </c>
      <c r="E60" s="5" t="s">
        <v>77</v>
      </c>
      <c r="F60" s="6" t="s">
        <v>15</v>
      </c>
      <c r="G60" s="6" t="s">
        <v>174</v>
      </c>
      <c r="H60" s="5" t="s">
        <v>297</v>
      </c>
    </row>
    <row r="61" spans="1:8" ht="20" customHeight="1" x14ac:dyDescent="0.2">
      <c r="A61" s="3" t="s">
        <v>298</v>
      </c>
      <c r="B61" s="4" t="s">
        <v>239</v>
      </c>
      <c r="C61" s="3" t="s">
        <v>299</v>
      </c>
      <c r="D61" s="3" t="s">
        <v>300</v>
      </c>
      <c r="E61" s="3" t="s">
        <v>96</v>
      </c>
      <c r="F61" s="4" t="s">
        <v>97</v>
      </c>
      <c r="G61" s="4" t="s">
        <v>301</v>
      </c>
      <c r="H61" s="3" t="s">
        <v>302</v>
      </c>
    </row>
    <row r="62" spans="1:8" ht="20" customHeight="1" x14ac:dyDescent="0.2">
      <c r="A62" s="5" t="s">
        <v>303</v>
      </c>
      <c r="B62" s="6" t="s">
        <v>239</v>
      </c>
      <c r="C62" s="5" t="s">
        <v>304</v>
      </c>
      <c r="D62" s="5" t="s">
        <v>305</v>
      </c>
      <c r="E62" s="5" t="s">
        <v>96</v>
      </c>
      <c r="F62" s="6" t="s">
        <v>113</v>
      </c>
      <c r="G62" s="6" t="s">
        <v>306</v>
      </c>
      <c r="H62" s="5" t="s">
        <v>307</v>
      </c>
    </row>
    <row r="63" spans="1:8" ht="20" customHeight="1" x14ac:dyDescent="0.2">
      <c r="A63" s="3" t="s">
        <v>308</v>
      </c>
      <c r="B63" s="4" t="s">
        <v>239</v>
      </c>
      <c r="C63" s="3" t="s">
        <v>309</v>
      </c>
      <c r="D63" s="3" t="s">
        <v>310</v>
      </c>
      <c r="E63" s="3" t="s">
        <v>96</v>
      </c>
      <c r="F63" s="4" t="s">
        <v>108</v>
      </c>
      <c r="G63" s="4" t="s">
        <v>311</v>
      </c>
      <c r="H63" s="3" t="s">
        <v>312</v>
      </c>
    </row>
    <row r="64" spans="1:8" ht="20" customHeight="1" x14ac:dyDescent="0.2">
      <c r="A64" s="5" t="s">
        <v>313</v>
      </c>
      <c r="B64" s="6" t="s">
        <v>239</v>
      </c>
      <c r="C64" s="5" t="s">
        <v>314</v>
      </c>
      <c r="D64" s="5" t="s">
        <v>315</v>
      </c>
      <c r="E64" s="5" t="s">
        <v>96</v>
      </c>
      <c r="F64" s="6" t="s">
        <v>118</v>
      </c>
      <c r="G64" s="6" t="s">
        <v>316</v>
      </c>
      <c r="H64" s="5" t="s">
        <v>317</v>
      </c>
    </row>
    <row r="65" spans="1:8" ht="20" customHeight="1" x14ac:dyDescent="0.2">
      <c r="A65" s="3" t="s">
        <v>318</v>
      </c>
      <c r="B65" s="4" t="s">
        <v>239</v>
      </c>
      <c r="C65" s="3" t="s">
        <v>319</v>
      </c>
      <c r="D65" s="3" t="s">
        <v>320</v>
      </c>
      <c r="E65" s="3" t="s">
        <v>129</v>
      </c>
      <c r="F65" s="4" t="s">
        <v>130</v>
      </c>
      <c r="G65" s="4" t="s">
        <v>236</v>
      </c>
      <c r="H65" s="3" t="s">
        <v>321</v>
      </c>
    </row>
    <row r="66" spans="1:8" ht="20" customHeight="1" x14ac:dyDescent="0.2">
      <c r="A66" s="5" t="s">
        <v>322</v>
      </c>
      <c r="B66" s="6" t="s">
        <v>239</v>
      </c>
      <c r="C66" s="5" t="s">
        <v>309</v>
      </c>
      <c r="D66" s="5" t="s">
        <v>323</v>
      </c>
      <c r="E66" s="5" t="s">
        <v>324</v>
      </c>
      <c r="F66" s="6" t="s">
        <v>136</v>
      </c>
      <c r="G66" s="6" t="s">
        <v>325</v>
      </c>
      <c r="H66" s="5" t="s">
        <v>326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/>
  </sheetViews>
  <sheetFormatPr baseColWidth="10" defaultColWidth="8.83203125" defaultRowHeight="15" x14ac:dyDescent="0.2"/>
  <cols>
    <col min="1" max="1" width="38" customWidth="1"/>
    <col min="2" max="2" width="13" customWidth="1"/>
    <col min="3" max="3" width="25" customWidth="1"/>
    <col min="4" max="4" width="36" customWidth="1"/>
    <col min="5" max="5" width="20" customWidth="1"/>
    <col min="6" max="6" width="17" customWidth="1"/>
    <col min="7" max="7" width="13" customWidth="1"/>
    <col min="8" max="8" width="34" customWidth="1"/>
  </cols>
  <sheetData>
    <row r="1" spans="1:8" ht="28" customHeight="1" x14ac:dyDescent="0.2">
      <c r="A1" s="28" t="s">
        <v>327</v>
      </c>
      <c r="B1" s="25"/>
      <c r="C1" s="25"/>
      <c r="D1" s="25"/>
      <c r="E1" s="25"/>
      <c r="F1" s="25"/>
      <c r="G1" s="25"/>
      <c r="H1" s="25"/>
    </row>
    <row r="2" spans="1:8" ht="18" customHeight="1" x14ac:dyDescent="0.2">
      <c r="A2" s="27" t="s">
        <v>328</v>
      </c>
      <c r="B2" s="25"/>
      <c r="C2" s="25"/>
      <c r="D2" s="25"/>
      <c r="E2" s="25"/>
      <c r="F2" s="25"/>
      <c r="G2" s="25"/>
      <c r="H2" s="25"/>
    </row>
    <row r="3" spans="1:8" ht="10" customHeight="1" x14ac:dyDescent="0.2"/>
    <row r="4" spans="1:8" ht="25" customHeight="1" x14ac:dyDescent="0.2">
      <c r="A4" s="7" t="s">
        <v>2</v>
      </c>
      <c r="B4" s="8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8" t="s">
        <v>8</v>
      </c>
      <c r="H4" s="7" t="s">
        <v>9</v>
      </c>
    </row>
    <row r="5" spans="1:8" ht="20" customHeight="1" x14ac:dyDescent="0.2">
      <c r="A5" s="3" t="s">
        <v>10</v>
      </c>
      <c r="B5" s="4" t="s">
        <v>11</v>
      </c>
      <c r="C5" s="3" t="s">
        <v>12</v>
      </c>
      <c r="D5" s="3" t="s">
        <v>13</v>
      </c>
      <c r="E5" s="3" t="s">
        <v>14</v>
      </c>
      <c r="F5" s="4" t="s">
        <v>15</v>
      </c>
      <c r="G5" s="4" t="s">
        <v>16</v>
      </c>
      <c r="H5" s="3" t="s">
        <v>17</v>
      </c>
    </row>
    <row r="6" spans="1:8" ht="20" customHeight="1" x14ac:dyDescent="0.2">
      <c r="A6" s="5" t="s">
        <v>18</v>
      </c>
      <c r="B6" s="6" t="s">
        <v>11</v>
      </c>
      <c r="C6" s="5" t="s">
        <v>19</v>
      </c>
      <c r="D6" s="5" t="s">
        <v>20</v>
      </c>
      <c r="E6" s="5" t="s">
        <v>21</v>
      </c>
      <c r="F6" s="6" t="s">
        <v>15</v>
      </c>
      <c r="G6" s="6" t="s">
        <v>22</v>
      </c>
      <c r="H6" s="5" t="s">
        <v>17</v>
      </c>
    </row>
    <row r="7" spans="1:8" ht="20" customHeight="1" x14ac:dyDescent="0.2">
      <c r="A7" s="3" t="s">
        <v>23</v>
      </c>
      <c r="B7" s="4" t="s">
        <v>11</v>
      </c>
      <c r="C7" s="3" t="s">
        <v>24</v>
      </c>
      <c r="D7" s="3" t="s">
        <v>25</v>
      </c>
      <c r="E7" s="3" t="s">
        <v>26</v>
      </c>
      <c r="F7" s="4" t="s">
        <v>15</v>
      </c>
      <c r="G7" s="4" t="s">
        <v>27</v>
      </c>
      <c r="H7" s="3" t="s">
        <v>28</v>
      </c>
    </row>
    <row r="8" spans="1:8" ht="20" customHeight="1" x14ac:dyDescent="0.2">
      <c r="A8" s="5" t="s">
        <v>29</v>
      </c>
      <c r="B8" s="6" t="s">
        <v>11</v>
      </c>
      <c r="C8" s="5" t="s">
        <v>24</v>
      </c>
      <c r="D8" s="5" t="s">
        <v>30</v>
      </c>
      <c r="E8" s="5" t="s">
        <v>31</v>
      </c>
      <c r="F8" s="6" t="s">
        <v>15</v>
      </c>
      <c r="G8" s="6" t="s">
        <v>32</v>
      </c>
      <c r="H8" s="5" t="s">
        <v>33</v>
      </c>
    </row>
    <row r="9" spans="1:8" ht="20" customHeight="1" x14ac:dyDescent="0.2">
      <c r="A9" s="3" t="s">
        <v>34</v>
      </c>
      <c r="B9" s="4" t="s">
        <v>11</v>
      </c>
      <c r="C9" s="3" t="s">
        <v>35</v>
      </c>
      <c r="D9" s="3" t="s">
        <v>36</v>
      </c>
      <c r="E9" s="3" t="s">
        <v>37</v>
      </c>
      <c r="F9" s="4" t="s">
        <v>15</v>
      </c>
      <c r="G9" s="4" t="s">
        <v>38</v>
      </c>
      <c r="H9" s="3" t="s">
        <v>39</v>
      </c>
    </row>
    <row r="10" spans="1:8" ht="20" customHeight="1" x14ac:dyDescent="0.2">
      <c r="A10" s="5" t="s">
        <v>40</v>
      </c>
      <c r="B10" s="6" t="s">
        <v>11</v>
      </c>
      <c r="C10" s="5" t="s">
        <v>41</v>
      </c>
      <c r="D10" s="5" t="s">
        <v>42</v>
      </c>
      <c r="E10" s="5" t="s">
        <v>43</v>
      </c>
      <c r="F10" s="6" t="s">
        <v>15</v>
      </c>
      <c r="G10" s="6" t="s">
        <v>44</v>
      </c>
      <c r="H10" s="5" t="s">
        <v>45</v>
      </c>
    </row>
    <row r="11" spans="1:8" ht="20" customHeight="1" x14ac:dyDescent="0.2">
      <c r="A11" s="3" t="s">
        <v>46</v>
      </c>
      <c r="B11" s="4" t="s">
        <v>11</v>
      </c>
      <c r="C11" s="3" t="s">
        <v>41</v>
      </c>
      <c r="D11" s="3" t="s">
        <v>47</v>
      </c>
      <c r="E11" s="3" t="s">
        <v>48</v>
      </c>
      <c r="F11" s="4" t="s">
        <v>15</v>
      </c>
      <c r="G11" s="4" t="s">
        <v>49</v>
      </c>
      <c r="H11" s="3" t="s">
        <v>50</v>
      </c>
    </row>
    <row r="12" spans="1:8" ht="20" customHeight="1" x14ac:dyDescent="0.2">
      <c r="A12" s="5" t="s">
        <v>51</v>
      </c>
      <c r="B12" s="6" t="s">
        <v>11</v>
      </c>
      <c r="C12" s="5" t="s">
        <v>52</v>
      </c>
      <c r="D12" s="5" t="s">
        <v>53</v>
      </c>
      <c r="E12" s="5" t="s">
        <v>54</v>
      </c>
      <c r="F12" s="6" t="s">
        <v>15</v>
      </c>
      <c r="G12" s="6" t="s">
        <v>55</v>
      </c>
      <c r="H12" s="5" t="s">
        <v>56</v>
      </c>
    </row>
    <row r="13" spans="1:8" ht="20" customHeight="1" x14ac:dyDescent="0.2">
      <c r="A13" s="3" t="s">
        <v>57</v>
      </c>
      <c r="B13" s="4" t="s">
        <v>11</v>
      </c>
      <c r="C13" s="3" t="s">
        <v>58</v>
      </c>
      <c r="D13" s="3" t="s">
        <v>59</v>
      </c>
      <c r="E13" s="3" t="s">
        <v>60</v>
      </c>
      <c r="F13" s="4" t="s">
        <v>15</v>
      </c>
      <c r="G13" s="4" t="s">
        <v>61</v>
      </c>
      <c r="H13" s="3" t="s">
        <v>62</v>
      </c>
    </row>
    <row r="14" spans="1:8" ht="20" customHeight="1" x14ac:dyDescent="0.2">
      <c r="A14" s="5" t="s">
        <v>63</v>
      </c>
      <c r="B14" s="6" t="s">
        <v>11</v>
      </c>
      <c r="C14" s="5" t="s">
        <v>64</v>
      </c>
      <c r="D14" s="5" t="s">
        <v>65</v>
      </c>
      <c r="E14" s="5" t="s">
        <v>66</v>
      </c>
      <c r="F14" s="6" t="s">
        <v>15</v>
      </c>
      <c r="G14" s="6" t="s">
        <v>67</v>
      </c>
      <c r="H14" s="5" t="s">
        <v>68</v>
      </c>
    </row>
    <row r="15" spans="1:8" ht="20" customHeight="1" x14ac:dyDescent="0.2">
      <c r="A15" s="3" t="s">
        <v>69</v>
      </c>
      <c r="B15" s="4" t="s">
        <v>11</v>
      </c>
      <c r="C15" s="3" t="s">
        <v>70</v>
      </c>
      <c r="D15" s="3" t="s">
        <v>71</v>
      </c>
      <c r="E15" s="3" t="s">
        <v>31</v>
      </c>
      <c r="F15" s="4" t="s">
        <v>15</v>
      </c>
      <c r="G15" s="4" t="s">
        <v>72</v>
      </c>
      <c r="H15" s="3" t="s">
        <v>73</v>
      </c>
    </row>
    <row r="16" spans="1:8" ht="20" customHeight="1" x14ac:dyDescent="0.2">
      <c r="A16" s="5" t="s">
        <v>74</v>
      </c>
      <c r="B16" s="6" t="s">
        <v>11</v>
      </c>
      <c r="C16" s="5" t="s">
        <v>75</v>
      </c>
      <c r="D16" s="5" t="s">
        <v>76</v>
      </c>
      <c r="E16" s="5" t="s">
        <v>77</v>
      </c>
      <c r="F16" s="6" t="s">
        <v>15</v>
      </c>
      <c r="G16" s="6" t="s">
        <v>78</v>
      </c>
      <c r="H16" s="5" t="s">
        <v>79</v>
      </c>
    </row>
    <row r="17" spans="1:8" ht="20" customHeight="1" x14ac:dyDescent="0.2">
      <c r="A17" s="3" t="s">
        <v>80</v>
      </c>
      <c r="B17" s="4" t="s">
        <v>11</v>
      </c>
      <c r="C17" s="3" t="s">
        <v>81</v>
      </c>
      <c r="D17" s="3" t="s">
        <v>82</v>
      </c>
      <c r="E17" s="3" t="s">
        <v>77</v>
      </c>
      <c r="F17" s="4" t="s">
        <v>15</v>
      </c>
      <c r="G17" s="4" t="s">
        <v>83</v>
      </c>
      <c r="H17" s="3" t="s">
        <v>84</v>
      </c>
    </row>
    <row r="18" spans="1:8" ht="20" customHeight="1" x14ac:dyDescent="0.2">
      <c r="A18" s="5" t="s">
        <v>85</v>
      </c>
      <c r="B18" s="6" t="s">
        <v>11</v>
      </c>
      <c r="C18" s="5" t="s">
        <v>64</v>
      </c>
      <c r="D18" s="5" t="s">
        <v>86</v>
      </c>
      <c r="E18" s="5" t="s">
        <v>77</v>
      </c>
      <c r="F18" s="6" t="s">
        <v>15</v>
      </c>
      <c r="G18" s="6" t="s">
        <v>87</v>
      </c>
      <c r="H18" s="5" t="s">
        <v>88</v>
      </c>
    </row>
    <row r="19" spans="1:8" ht="20" customHeight="1" x14ac:dyDescent="0.2">
      <c r="A19" s="3" t="s">
        <v>89</v>
      </c>
      <c r="B19" s="4" t="s">
        <v>11</v>
      </c>
      <c r="C19" s="3" t="s">
        <v>90</v>
      </c>
      <c r="D19" s="3" t="s">
        <v>91</v>
      </c>
      <c r="E19" s="3" t="s">
        <v>77</v>
      </c>
      <c r="F19" s="4" t="s">
        <v>15</v>
      </c>
      <c r="G19" s="4" t="s">
        <v>92</v>
      </c>
      <c r="H19" s="3" t="s">
        <v>93</v>
      </c>
    </row>
    <row r="20" spans="1:8" ht="20" customHeight="1" x14ac:dyDescent="0.2">
      <c r="A20" s="5" t="s">
        <v>94</v>
      </c>
      <c r="B20" s="6" t="s">
        <v>11</v>
      </c>
      <c r="C20" s="5" t="s">
        <v>75</v>
      </c>
      <c r="D20" s="5" t="s">
        <v>95</v>
      </c>
      <c r="E20" s="5" t="s">
        <v>96</v>
      </c>
      <c r="F20" s="6" t="s">
        <v>97</v>
      </c>
      <c r="G20" s="6" t="s">
        <v>98</v>
      </c>
      <c r="H20" s="5" t="s">
        <v>99</v>
      </c>
    </row>
    <row r="21" spans="1:8" ht="20" customHeight="1" x14ac:dyDescent="0.2">
      <c r="A21" s="3" t="s">
        <v>100</v>
      </c>
      <c r="B21" s="4" t="s">
        <v>11</v>
      </c>
      <c r="C21" s="3" t="s">
        <v>52</v>
      </c>
      <c r="D21" s="3" t="s">
        <v>101</v>
      </c>
      <c r="E21" s="3" t="s">
        <v>96</v>
      </c>
      <c r="F21" s="4" t="s">
        <v>97</v>
      </c>
      <c r="G21" s="4" t="s">
        <v>102</v>
      </c>
      <c r="H21" s="3" t="s">
        <v>103</v>
      </c>
    </row>
    <row r="22" spans="1:8" ht="20" customHeight="1" x14ac:dyDescent="0.2">
      <c r="A22" s="5" t="s">
        <v>104</v>
      </c>
      <c r="B22" s="6" t="s">
        <v>11</v>
      </c>
      <c r="C22" s="5" t="s">
        <v>105</v>
      </c>
      <c r="D22" s="5" t="s">
        <v>106</v>
      </c>
      <c r="E22" s="5" t="s">
        <v>107</v>
      </c>
      <c r="F22" s="6" t="s">
        <v>108</v>
      </c>
      <c r="G22" s="6" t="s">
        <v>109</v>
      </c>
      <c r="H22" s="5" t="s">
        <v>110</v>
      </c>
    </row>
    <row r="23" spans="1:8" ht="20" customHeight="1" x14ac:dyDescent="0.2">
      <c r="A23" s="3" t="s">
        <v>111</v>
      </c>
      <c r="B23" s="4" t="s">
        <v>11</v>
      </c>
      <c r="C23" s="3" t="s">
        <v>52</v>
      </c>
      <c r="D23" s="3" t="s">
        <v>112</v>
      </c>
      <c r="E23" s="3" t="s">
        <v>96</v>
      </c>
      <c r="F23" s="4" t="s">
        <v>113</v>
      </c>
      <c r="G23" s="4" t="s">
        <v>114</v>
      </c>
      <c r="H23" s="3" t="s">
        <v>115</v>
      </c>
    </row>
    <row r="24" spans="1:8" ht="20" customHeight="1" x14ac:dyDescent="0.2">
      <c r="A24" s="5" t="s">
        <v>116</v>
      </c>
      <c r="B24" s="6" t="s">
        <v>11</v>
      </c>
      <c r="C24" s="5" t="s">
        <v>70</v>
      </c>
      <c r="D24" s="5" t="s">
        <v>117</v>
      </c>
      <c r="E24" s="5" t="s">
        <v>96</v>
      </c>
      <c r="F24" s="6" t="s">
        <v>118</v>
      </c>
      <c r="G24" s="6" t="s">
        <v>119</v>
      </c>
      <c r="H24" s="5" t="s">
        <v>120</v>
      </c>
    </row>
    <row r="25" spans="1:8" ht="20" customHeight="1" x14ac:dyDescent="0.2">
      <c r="A25" s="3" t="s">
        <v>121</v>
      </c>
      <c r="B25" s="4" t="s">
        <v>11</v>
      </c>
      <c r="C25" s="3" t="s">
        <v>24</v>
      </c>
      <c r="D25" s="3" t="s">
        <v>122</v>
      </c>
      <c r="E25" s="3" t="s">
        <v>123</v>
      </c>
      <c r="F25" s="4" t="s">
        <v>124</v>
      </c>
      <c r="G25" s="4" t="s">
        <v>125</v>
      </c>
      <c r="H25" s="3" t="s">
        <v>126</v>
      </c>
    </row>
    <row r="26" spans="1:8" ht="20" customHeight="1" x14ac:dyDescent="0.2">
      <c r="A26" s="5" t="s">
        <v>127</v>
      </c>
      <c r="B26" s="6" t="s">
        <v>11</v>
      </c>
      <c r="C26" s="5" t="s">
        <v>81</v>
      </c>
      <c r="D26" s="5" t="s">
        <v>128</v>
      </c>
      <c r="E26" s="5" t="s">
        <v>129</v>
      </c>
      <c r="F26" s="6" t="s">
        <v>130</v>
      </c>
      <c r="G26" s="6" t="s">
        <v>131</v>
      </c>
      <c r="H26" s="5" t="s">
        <v>132</v>
      </c>
    </row>
    <row r="27" spans="1:8" ht="20" customHeight="1" x14ac:dyDescent="0.2">
      <c r="A27" s="3" t="s">
        <v>133</v>
      </c>
      <c r="B27" s="4" t="s">
        <v>11</v>
      </c>
      <c r="C27" s="3" t="s">
        <v>134</v>
      </c>
      <c r="D27" s="3" t="s">
        <v>135</v>
      </c>
      <c r="E27" s="3" t="s">
        <v>96</v>
      </c>
      <c r="F27" s="4" t="s">
        <v>136</v>
      </c>
      <c r="G27" s="4" t="s">
        <v>137</v>
      </c>
      <c r="H27" s="3" t="s">
        <v>138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/>
  </sheetViews>
  <sheetFormatPr baseColWidth="10" defaultColWidth="8.83203125" defaultRowHeight="15" x14ac:dyDescent="0.2"/>
  <cols>
    <col min="1" max="1" width="38" customWidth="1"/>
    <col min="2" max="2" width="13" customWidth="1"/>
    <col min="3" max="3" width="27" customWidth="1"/>
    <col min="4" max="4" width="36" customWidth="1"/>
    <col min="5" max="5" width="20" customWidth="1"/>
    <col min="6" max="6" width="17" customWidth="1"/>
    <col min="7" max="7" width="13" customWidth="1"/>
    <col min="8" max="8" width="34" customWidth="1"/>
  </cols>
  <sheetData>
    <row r="1" spans="1:8" ht="28" customHeight="1" x14ac:dyDescent="0.2">
      <c r="A1" s="30" t="s">
        <v>329</v>
      </c>
      <c r="B1" s="25"/>
      <c r="C1" s="25"/>
      <c r="D1" s="25"/>
      <c r="E1" s="25"/>
      <c r="F1" s="25"/>
      <c r="G1" s="25"/>
      <c r="H1" s="25"/>
    </row>
    <row r="2" spans="1:8" ht="18" customHeight="1" x14ac:dyDescent="0.2">
      <c r="A2" s="29" t="s">
        <v>330</v>
      </c>
      <c r="B2" s="25"/>
      <c r="C2" s="25"/>
      <c r="D2" s="25"/>
      <c r="E2" s="25"/>
      <c r="F2" s="25"/>
      <c r="G2" s="25"/>
      <c r="H2" s="25"/>
    </row>
    <row r="3" spans="1:8" ht="10" customHeight="1" x14ac:dyDescent="0.2"/>
    <row r="4" spans="1:8" ht="25" customHeight="1" x14ac:dyDescent="0.2">
      <c r="A4" s="9" t="s">
        <v>2</v>
      </c>
      <c r="B4" s="10" t="s">
        <v>3</v>
      </c>
      <c r="C4" s="9" t="s">
        <v>4</v>
      </c>
      <c r="D4" s="9" t="s">
        <v>5</v>
      </c>
      <c r="E4" s="9" t="s">
        <v>6</v>
      </c>
      <c r="F4" s="10" t="s">
        <v>7</v>
      </c>
      <c r="G4" s="10" t="s">
        <v>8</v>
      </c>
      <c r="H4" s="9" t="s">
        <v>9</v>
      </c>
    </row>
    <row r="5" spans="1:8" ht="20" customHeight="1" x14ac:dyDescent="0.2">
      <c r="A5" s="3" t="s">
        <v>139</v>
      </c>
      <c r="B5" s="4" t="s">
        <v>140</v>
      </c>
      <c r="C5" s="3" t="s">
        <v>141</v>
      </c>
      <c r="D5" s="3" t="s">
        <v>142</v>
      </c>
      <c r="E5" s="3" t="s">
        <v>77</v>
      </c>
      <c r="F5" s="4" t="s">
        <v>15</v>
      </c>
      <c r="G5" s="4" t="s">
        <v>143</v>
      </c>
      <c r="H5" s="3" t="s">
        <v>144</v>
      </c>
    </row>
    <row r="6" spans="1:8" ht="20" customHeight="1" x14ac:dyDescent="0.2">
      <c r="A6" s="5" t="s">
        <v>145</v>
      </c>
      <c r="B6" s="6" t="s">
        <v>140</v>
      </c>
      <c r="C6" s="5" t="s">
        <v>141</v>
      </c>
      <c r="D6" s="5" t="s">
        <v>146</v>
      </c>
      <c r="E6" s="5" t="s">
        <v>77</v>
      </c>
      <c r="F6" s="6" t="s">
        <v>15</v>
      </c>
      <c r="G6" s="6" t="s">
        <v>147</v>
      </c>
      <c r="H6" s="5" t="s">
        <v>148</v>
      </c>
    </row>
    <row r="7" spans="1:8" ht="20" customHeight="1" x14ac:dyDescent="0.2">
      <c r="A7" s="3" t="s">
        <v>149</v>
      </c>
      <c r="B7" s="4" t="s">
        <v>140</v>
      </c>
      <c r="C7" s="3" t="s">
        <v>141</v>
      </c>
      <c r="D7" s="3" t="s">
        <v>150</v>
      </c>
      <c r="E7" s="3" t="s">
        <v>77</v>
      </c>
      <c r="F7" s="4" t="s">
        <v>15</v>
      </c>
      <c r="G7" s="4" t="s">
        <v>151</v>
      </c>
      <c r="H7" s="3" t="s">
        <v>152</v>
      </c>
    </row>
    <row r="8" spans="1:8" ht="20" customHeight="1" x14ac:dyDescent="0.2">
      <c r="A8" s="5" t="s">
        <v>153</v>
      </c>
      <c r="B8" s="6" t="s">
        <v>140</v>
      </c>
      <c r="C8" s="5" t="s">
        <v>141</v>
      </c>
      <c r="D8" s="5" t="s">
        <v>154</v>
      </c>
      <c r="E8" s="5" t="s">
        <v>66</v>
      </c>
      <c r="F8" s="6" t="s">
        <v>15</v>
      </c>
      <c r="G8" s="6" t="s">
        <v>155</v>
      </c>
      <c r="H8" s="5" t="s">
        <v>156</v>
      </c>
    </row>
    <row r="9" spans="1:8" ht="20" customHeight="1" x14ac:dyDescent="0.2">
      <c r="A9" s="3" t="s">
        <v>157</v>
      </c>
      <c r="B9" s="4" t="s">
        <v>140</v>
      </c>
      <c r="C9" s="3" t="s">
        <v>141</v>
      </c>
      <c r="D9" s="3" t="s">
        <v>158</v>
      </c>
      <c r="E9" s="3" t="s">
        <v>77</v>
      </c>
      <c r="F9" s="4" t="s">
        <v>15</v>
      </c>
      <c r="G9" s="4" t="s">
        <v>159</v>
      </c>
      <c r="H9" s="3" t="s">
        <v>160</v>
      </c>
    </row>
    <row r="10" spans="1:8" ht="20" customHeight="1" x14ac:dyDescent="0.2">
      <c r="A10" s="5" t="s">
        <v>161</v>
      </c>
      <c r="B10" s="6" t="s">
        <v>140</v>
      </c>
      <c r="C10" s="5" t="s">
        <v>141</v>
      </c>
      <c r="D10" s="5" t="s">
        <v>162</v>
      </c>
      <c r="E10" s="5" t="s">
        <v>163</v>
      </c>
      <c r="F10" s="6" t="s">
        <v>15</v>
      </c>
      <c r="G10" s="6" t="s">
        <v>164</v>
      </c>
      <c r="H10" s="5" t="s">
        <v>165</v>
      </c>
    </row>
    <row r="11" spans="1:8" ht="20" customHeight="1" x14ac:dyDescent="0.2">
      <c r="A11" s="3" t="s">
        <v>166</v>
      </c>
      <c r="B11" s="4" t="s">
        <v>140</v>
      </c>
      <c r="C11" s="3" t="s">
        <v>141</v>
      </c>
      <c r="D11" s="3" t="s">
        <v>167</v>
      </c>
      <c r="E11" s="3" t="s">
        <v>168</v>
      </c>
      <c r="F11" s="4" t="s">
        <v>15</v>
      </c>
      <c r="G11" s="4" t="s">
        <v>169</v>
      </c>
      <c r="H11" s="3" t="s">
        <v>170</v>
      </c>
    </row>
    <row r="12" spans="1:8" ht="20" customHeight="1" x14ac:dyDescent="0.2">
      <c r="A12" s="5" t="s">
        <v>171</v>
      </c>
      <c r="B12" s="6" t="s">
        <v>140</v>
      </c>
      <c r="C12" s="5" t="s">
        <v>172</v>
      </c>
      <c r="D12" s="5" t="s">
        <v>173</v>
      </c>
      <c r="E12" s="5" t="s">
        <v>77</v>
      </c>
      <c r="F12" s="6" t="s">
        <v>15</v>
      </c>
      <c r="G12" s="6" t="s">
        <v>174</v>
      </c>
      <c r="H12" s="5" t="s">
        <v>175</v>
      </c>
    </row>
    <row r="13" spans="1:8" ht="20" customHeight="1" x14ac:dyDescent="0.2">
      <c r="A13" s="3" t="s">
        <v>176</v>
      </c>
      <c r="B13" s="4" t="s">
        <v>140</v>
      </c>
      <c r="C13" s="3" t="s">
        <v>177</v>
      </c>
      <c r="D13" s="3" t="s">
        <v>178</v>
      </c>
      <c r="E13" s="3" t="s">
        <v>129</v>
      </c>
      <c r="F13" s="4" t="s">
        <v>15</v>
      </c>
      <c r="G13" s="4" t="s">
        <v>179</v>
      </c>
      <c r="H13" s="3" t="s">
        <v>180</v>
      </c>
    </row>
    <row r="14" spans="1:8" ht="20" customHeight="1" x14ac:dyDescent="0.2">
      <c r="A14" s="5" t="s">
        <v>181</v>
      </c>
      <c r="B14" s="6" t="s">
        <v>140</v>
      </c>
      <c r="C14" s="5" t="s">
        <v>182</v>
      </c>
      <c r="D14" s="5" t="s">
        <v>183</v>
      </c>
      <c r="E14" s="5" t="s">
        <v>77</v>
      </c>
      <c r="F14" s="6" t="s">
        <v>15</v>
      </c>
      <c r="G14" s="6" t="s">
        <v>184</v>
      </c>
      <c r="H14" s="5" t="s">
        <v>185</v>
      </c>
    </row>
    <row r="15" spans="1:8" ht="20" customHeight="1" x14ac:dyDescent="0.2">
      <c r="A15" s="3" t="s">
        <v>186</v>
      </c>
      <c r="B15" s="4" t="s">
        <v>140</v>
      </c>
      <c r="C15" s="3" t="s">
        <v>187</v>
      </c>
      <c r="D15" s="3" t="s">
        <v>188</v>
      </c>
      <c r="E15" s="3" t="s">
        <v>189</v>
      </c>
      <c r="F15" s="4" t="s">
        <v>15</v>
      </c>
      <c r="G15" s="4" t="s">
        <v>190</v>
      </c>
      <c r="H15" s="3" t="s">
        <v>191</v>
      </c>
    </row>
    <row r="16" spans="1:8" ht="20" customHeight="1" x14ac:dyDescent="0.2">
      <c r="A16" s="5" t="s">
        <v>192</v>
      </c>
      <c r="B16" s="6" t="s">
        <v>140</v>
      </c>
      <c r="C16" s="5" t="s">
        <v>193</v>
      </c>
      <c r="D16" s="5" t="s">
        <v>194</v>
      </c>
      <c r="E16" s="5" t="s">
        <v>77</v>
      </c>
      <c r="F16" s="6" t="s">
        <v>15</v>
      </c>
      <c r="G16" s="6" t="s">
        <v>195</v>
      </c>
      <c r="H16" s="5" t="s">
        <v>196</v>
      </c>
    </row>
    <row r="17" spans="1:8" ht="20" customHeight="1" x14ac:dyDescent="0.2">
      <c r="A17" s="3" t="s">
        <v>197</v>
      </c>
      <c r="B17" s="4" t="s">
        <v>140</v>
      </c>
      <c r="C17" s="3" t="s">
        <v>198</v>
      </c>
      <c r="D17" s="3" t="s">
        <v>199</v>
      </c>
      <c r="E17" s="3" t="s">
        <v>54</v>
      </c>
      <c r="F17" s="4" t="s">
        <v>15</v>
      </c>
      <c r="G17" s="4" t="s">
        <v>200</v>
      </c>
      <c r="H17" s="3" t="s">
        <v>201</v>
      </c>
    </row>
    <row r="18" spans="1:8" ht="20" customHeight="1" x14ac:dyDescent="0.2">
      <c r="A18" s="5" t="s">
        <v>202</v>
      </c>
      <c r="B18" s="6" t="s">
        <v>140</v>
      </c>
      <c r="C18" s="5" t="s">
        <v>141</v>
      </c>
      <c r="D18" s="5" t="s">
        <v>203</v>
      </c>
      <c r="E18" s="5" t="s">
        <v>204</v>
      </c>
      <c r="F18" s="6" t="s">
        <v>15</v>
      </c>
      <c r="G18" s="6" t="s">
        <v>205</v>
      </c>
      <c r="H18" s="5" t="s">
        <v>206</v>
      </c>
    </row>
    <row r="19" spans="1:8" ht="20" customHeight="1" x14ac:dyDescent="0.2">
      <c r="A19" s="3" t="s">
        <v>207</v>
      </c>
      <c r="B19" s="4" t="s">
        <v>140</v>
      </c>
      <c r="C19" s="3" t="s">
        <v>141</v>
      </c>
      <c r="D19" s="3" t="s">
        <v>208</v>
      </c>
      <c r="E19" s="3" t="s">
        <v>96</v>
      </c>
      <c r="F19" s="4" t="s">
        <v>97</v>
      </c>
      <c r="G19" s="4" t="s">
        <v>209</v>
      </c>
      <c r="H19" s="3" t="s">
        <v>210</v>
      </c>
    </row>
    <row r="20" spans="1:8" ht="20" customHeight="1" x14ac:dyDescent="0.2">
      <c r="A20" s="5" t="s">
        <v>211</v>
      </c>
      <c r="B20" s="6" t="s">
        <v>140</v>
      </c>
      <c r="C20" s="5" t="s">
        <v>141</v>
      </c>
      <c r="D20" s="5" t="s">
        <v>212</v>
      </c>
      <c r="E20" s="5" t="s">
        <v>96</v>
      </c>
      <c r="F20" s="6" t="s">
        <v>113</v>
      </c>
      <c r="G20" s="6" t="s">
        <v>213</v>
      </c>
      <c r="H20" s="5" t="s">
        <v>214</v>
      </c>
    </row>
    <row r="21" spans="1:8" ht="20" customHeight="1" x14ac:dyDescent="0.2">
      <c r="A21" s="3" t="s">
        <v>215</v>
      </c>
      <c r="B21" s="4" t="s">
        <v>140</v>
      </c>
      <c r="C21" s="3" t="s">
        <v>216</v>
      </c>
      <c r="D21" s="3" t="s">
        <v>217</v>
      </c>
      <c r="E21" s="3" t="s">
        <v>218</v>
      </c>
      <c r="F21" s="4" t="s">
        <v>108</v>
      </c>
      <c r="G21" s="4" t="s">
        <v>219</v>
      </c>
      <c r="H21" s="3" t="s">
        <v>220</v>
      </c>
    </row>
    <row r="22" spans="1:8" ht="20" customHeight="1" x14ac:dyDescent="0.2">
      <c r="A22" s="5" t="s">
        <v>221</v>
      </c>
      <c r="B22" s="6" t="s">
        <v>140</v>
      </c>
      <c r="C22" s="5" t="s">
        <v>141</v>
      </c>
      <c r="D22" s="5" t="s">
        <v>222</v>
      </c>
      <c r="E22" s="5" t="s">
        <v>96</v>
      </c>
      <c r="F22" s="6" t="s">
        <v>118</v>
      </c>
      <c r="G22" s="6" t="s">
        <v>223</v>
      </c>
      <c r="H22" s="5" t="s">
        <v>224</v>
      </c>
    </row>
    <row r="23" spans="1:8" ht="20" customHeight="1" x14ac:dyDescent="0.2">
      <c r="A23" s="3" t="s">
        <v>225</v>
      </c>
      <c r="B23" s="4" t="s">
        <v>140</v>
      </c>
      <c r="C23" s="3" t="s">
        <v>141</v>
      </c>
      <c r="D23" s="3" t="s">
        <v>226</v>
      </c>
      <c r="E23" s="3" t="s">
        <v>96</v>
      </c>
      <c r="F23" s="4" t="s">
        <v>124</v>
      </c>
      <c r="G23" s="4" t="s">
        <v>227</v>
      </c>
      <c r="H23" s="3" t="s">
        <v>228</v>
      </c>
    </row>
    <row r="24" spans="1:8" ht="20" customHeight="1" x14ac:dyDescent="0.2">
      <c r="A24" s="5" t="s">
        <v>229</v>
      </c>
      <c r="B24" s="6" t="s">
        <v>140</v>
      </c>
      <c r="C24" s="5" t="s">
        <v>141</v>
      </c>
      <c r="D24" s="5" t="s">
        <v>230</v>
      </c>
      <c r="E24" s="5" t="s">
        <v>231</v>
      </c>
      <c r="F24" s="6" t="s">
        <v>136</v>
      </c>
      <c r="G24" s="6" t="s">
        <v>232</v>
      </c>
      <c r="H24" s="5" t="s">
        <v>233</v>
      </c>
    </row>
    <row r="25" spans="1:8" ht="20" customHeight="1" x14ac:dyDescent="0.2">
      <c r="A25" s="3" t="s">
        <v>234</v>
      </c>
      <c r="B25" s="4" t="s">
        <v>140</v>
      </c>
      <c r="C25" s="3" t="s">
        <v>141</v>
      </c>
      <c r="D25" s="3" t="s">
        <v>235</v>
      </c>
      <c r="E25" s="3" t="s">
        <v>129</v>
      </c>
      <c r="F25" s="4" t="s">
        <v>130</v>
      </c>
      <c r="G25" s="4" t="s">
        <v>236</v>
      </c>
      <c r="H25" s="3" t="s">
        <v>237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workbookViewId="0"/>
  </sheetViews>
  <sheetFormatPr baseColWidth="10" defaultColWidth="8.83203125" defaultRowHeight="15" x14ac:dyDescent="0.2"/>
  <cols>
    <col min="1" max="1" width="38" customWidth="1"/>
    <col min="2" max="2" width="14" customWidth="1"/>
    <col min="3" max="3" width="31" customWidth="1"/>
    <col min="4" max="4" width="36" customWidth="1"/>
    <col min="5" max="5" width="23" customWidth="1"/>
    <col min="6" max="6" width="17" customWidth="1"/>
    <col min="7" max="7" width="13" customWidth="1"/>
    <col min="8" max="8" width="34" customWidth="1"/>
  </cols>
  <sheetData>
    <row r="1" spans="1:8" ht="28" customHeight="1" x14ac:dyDescent="0.2">
      <c r="A1" s="32" t="s">
        <v>331</v>
      </c>
      <c r="B1" s="25"/>
      <c r="C1" s="25"/>
      <c r="D1" s="25"/>
      <c r="E1" s="25"/>
      <c r="F1" s="25"/>
      <c r="G1" s="25"/>
      <c r="H1" s="25"/>
    </row>
    <row r="2" spans="1:8" ht="18" customHeight="1" x14ac:dyDescent="0.2">
      <c r="A2" s="31" t="s">
        <v>332</v>
      </c>
      <c r="B2" s="25"/>
      <c r="C2" s="25"/>
      <c r="D2" s="25"/>
      <c r="E2" s="25"/>
      <c r="F2" s="25"/>
      <c r="G2" s="25"/>
      <c r="H2" s="25"/>
    </row>
    <row r="3" spans="1:8" ht="10" customHeight="1" x14ac:dyDescent="0.2"/>
    <row r="4" spans="1:8" ht="25" customHeight="1" x14ac:dyDescent="0.2">
      <c r="A4" s="11" t="s">
        <v>2</v>
      </c>
      <c r="B4" s="12" t="s">
        <v>3</v>
      </c>
      <c r="C4" s="11" t="s">
        <v>4</v>
      </c>
      <c r="D4" s="11" t="s">
        <v>5</v>
      </c>
      <c r="E4" s="11" t="s">
        <v>6</v>
      </c>
      <c r="F4" s="12" t="s">
        <v>7</v>
      </c>
      <c r="G4" s="12" t="s">
        <v>8</v>
      </c>
      <c r="H4" s="11" t="s">
        <v>9</v>
      </c>
    </row>
    <row r="5" spans="1:8" ht="20" customHeight="1" x14ac:dyDescent="0.2">
      <c r="A5" s="3" t="s">
        <v>238</v>
      </c>
      <c r="B5" s="4" t="s">
        <v>239</v>
      </c>
      <c r="C5" s="3" t="s">
        <v>240</v>
      </c>
      <c r="D5" s="3" t="s">
        <v>241</v>
      </c>
      <c r="E5" s="3" t="s">
        <v>77</v>
      </c>
      <c r="F5" s="4" t="s">
        <v>15</v>
      </c>
      <c r="G5" s="4" t="s">
        <v>242</v>
      </c>
      <c r="H5" s="3" t="s">
        <v>243</v>
      </c>
    </row>
    <row r="6" spans="1:8" ht="20" customHeight="1" x14ac:dyDescent="0.2">
      <c r="A6" s="5" t="s">
        <v>244</v>
      </c>
      <c r="B6" s="6" t="s">
        <v>239</v>
      </c>
      <c r="C6" s="5" t="s">
        <v>245</v>
      </c>
      <c r="D6" s="5" t="s">
        <v>246</v>
      </c>
      <c r="E6" s="5" t="s">
        <v>26</v>
      </c>
      <c r="F6" s="6" t="s">
        <v>15</v>
      </c>
      <c r="G6" s="6" t="s">
        <v>247</v>
      </c>
      <c r="H6" s="5" t="s">
        <v>248</v>
      </c>
    </row>
    <row r="7" spans="1:8" ht="20" customHeight="1" x14ac:dyDescent="0.2">
      <c r="A7" s="3" t="s">
        <v>249</v>
      </c>
      <c r="B7" s="4" t="s">
        <v>239</v>
      </c>
      <c r="C7" s="3" t="s">
        <v>250</v>
      </c>
      <c r="D7" s="3" t="s">
        <v>251</v>
      </c>
      <c r="E7" s="3" t="s">
        <v>204</v>
      </c>
      <c r="F7" s="4" t="s">
        <v>15</v>
      </c>
      <c r="G7" s="4" t="s">
        <v>252</v>
      </c>
      <c r="H7" s="3" t="s">
        <v>253</v>
      </c>
    </row>
    <row r="8" spans="1:8" ht="20" customHeight="1" x14ac:dyDescent="0.2">
      <c r="A8" s="5" t="s">
        <v>254</v>
      </c>
      <c r="B8" s="6" t="s">
        <v>239</v>
      </c>
      <c r="C8" s="5" t="s">
        <v>255</v>
      </c>
      <c r="D8" s="5" t="s">
        <v>256</v>
      </c>
      <c r="E8" s="5" t="s">
        <v>77</v>
      </c>
      <c r="F8" s="6" t="s">
        <v>15</v>
      </c>
      <c r="G8" s="6" t="s">
        <v>257</v>
      </c>
      <c r="H8" s="5" t="s">
        <v>258</v>
      </c>
    </row>
    <row r="9" spans="1:8" ht="20" customHeight="1" x14ac:dyDescent="0.2">
      <c r="A9" s="3" t="s">
        <v>259</v>
      </c>
      <c r="B9" s="4" t="s">
        <v>239</v>
      </c>
      <c r="C9" s="3" t="s">
        <v>260</v>
      </c>
      <c r="D9" s="3" t="s">
        <v>261</v>
      </c>
      <c r="E9" s="3" t="s">
        <v>262</v>
      </c>
      <c r="F9" s="4" t="s">
        <v>15</v>
      </c>
      <c r="G9" s="4" t="s">
        <v>263</v>
      </c>
      <c r="H9" s="3" t="s">
        <v>264</v>
      </c>
    </row>
    <row r="10" spans="1:8" ht="20" customHeight="1" x14ac:dyDescent="0.2">
      <c r="A10" s="5" t="s">
        <v>265</v>
      </c>
      <c r="B10" s="6" t="s">
        <v>239</v>
      </c>
      <c r="C10" s="5" t="s">
        <v>260</v>
      </c>
      <c r="D10" s="5" t="s">
        <v>266</v>
      </c>
      <c r="E10" s="5" t="s">
        <v>262</v>
      </c>
      <c r="F10" s="6" t="s">
        <v>15</v>
      </c>
      <c r="G10" s="6" t="s">
        <v>267</v>
      </c>
      <c r="H10" s="5" t="s">
        <v>268</v>
      </c>
    </row>
    <row r="11" spans="1:8" ht="20" customHeight="1" x14ac:dyDescent="0.2">
      <c r="A11" s="3" t="s">
        <v>269</v>
      </c>
      <c r="B11" s="4" t="s">
        <v>239</v>
      </c>
      <c r="C11" s="3" t="s">
        <v>260</v>
      </c>
      <c r="D11" s="3" t="s">
        <v>270</v>
      </c>
      <c r="E11" s="3" t="s">
        <v>271</v>
      </c>
      <c r="F11" s="4" t="s">
        <v>15</v>
      </c>
      <c r="G11" s="4" t="s">
        <v>272</v>
      </c>
      <c r="H11" s="3" t="s">
        <v>273</v>
      </c>
    </row>
    <row r="12" spans="1:8" ht="20" customHeight="1" x14ac:dyDescent="0.2">
      <c r="A12" s="5" t="s">
        <v>274</v>
      </c>
      <c r="B12" s="6" t="s">
        <v>239</v>
      </c>
      <c r="C12" s="5" t="s">
        <v>275</v>
      </c>
      <c r="D12" s="5" t="s">
        <v>276</v>
      </c>
      <c r="E12" s="5" t="s">
        <v>168</v>
      </c>
      <c r="F12" s="6" t="s">
        <v>15</v>
      </c>
      <c r="G12" s="6" t="s">
        <v>277</v>
      </c>
      <c r="H12" s="5" t="s">
        <v>278</v>
      </c>
    </row>
    <row r="13" spans="1:8" ht="20" customHeight="1" x14ac:dyDescent="0.2">
      <c r="A13" s="3" t="s">
        <v>279</v>
      </c>
      <c r="B13" s="4" t="s">
        <v>239</v>
      </c>
      <c r="C13" s="3" t="s">
        <v>280</v>
      </c>
      <c r="D13" s="3" t="s">
        <v>281</v>
      </c>
      <c r="E13" s="3" t="s">
        <v>77</v>
      </c>
      <c r="F13" s="4" t="s">
        <v>15</v>
      </c>
      <c r="G13" s="4" t="s">
        <v>282</v>
      </c>
      <c r="H13" s="3" t="s">
        <v>283</v>
      </c>
    </row>
    <row r="14" spans="1:8" ht="20" customHeight="1" x14ac:dyDescent="0.2">
      <c r="A14" s="5" t="s">
        <v>284</v>
      </c>
      <c r="B14" s="6" t="s">
        <v>239</v>
      </c>
      <c r="C14" s="5" t="s">
        <v>285</v>
      </c>
      <c r="D14" s="5" t="s">
        <v>286</v>
      </c>
      <c r="E14" s="5" t="s">
        <v>262</v>
      </c>
      <c r="F14" s="6" t="s">
        <v>15</v>
      </c>
      <c r="G14" s="6" t="s">
        <v>287</v>
      </c>
      <c r="H14" s="5" t="s">
        <v>288</v>
      </c>
    </row>
    <row r="15" spans="1:8" ht="20" customHeight="1" x14ac:dyDescent="0.2">
      <c r="A15" s="3" t="s">
        <v>289</v>
      </c>
      <c r="B15" s="4" t="s">
        <v>239</v>
      </c>
      <c r="C15" s="3" t="s">
        <v>290</v>
      </c>
      <c r="D15" s="3" t="s">
        <v>291</v>
      </c>
      <c r="E15" s="3" t="s">
        <v>163</v>
      </c>
      <c r="F15" s="4" t="s">
        <v>15</v>
      </c>
      <c r="G15" s="4" t="s">
        <v>292</v>
      </c>
      <c r="H15" s="3" t="s">
        <v>293</v>
      </c>
    </row>
    <row r="16" spans="1:8" ht="20" customHeight="1" x14ac:dyDescent="0.2">
      <c r="A16" s="5" t="s">
        <v>294</v>
      </c>
      <c r="B16" s="6" t="s">
        <v>239</v>
      </c>
      <c r="C16" s="5" t="s">
        <v>295</v>
      </c>
      <c r="D16" s="5" t="s">
        <v>296</v>
      </c>
      <c r="E16" s="5" t="s">
        <v>77</v>
      </c>
      <c r="F16" s="6" t="s">
        <v>15</v>
      </c>
      <c r="G16" s="6" t="s">
        <v>174</v>
      </c>
      <c r="H16" s="5" t="s">
        <v>297</v>
      </c>
    </row>
    <row r="17" spans="1:8" ht="20" customHeight="1" x14ac:dyDescent="0.2">
      <c r="A17" s="3" t="s">
        <v>298</v>
      </c>
      <c r="B17" s="4" t="s">
        <v>239</v>
      </c>
      <c r="C17" s="3" t="s">
        <v>299</v>
      </c>
      <c r="D17" s="3" t="s">
        <v>300</v>
      </c>
      <c r="E17" s="3" t="s">
        <v>96</v>
      </c>
      <c r="F17" s="4" t="s">
        <v>97</v>
      </c>
      <c r="G17" s="4" t="s">
        <v>301</v>
      </c>
      <c r="H17" s="3" t="s">
        <v>302</v>
      </c>
    </row>
    <row r="18" spans="1:8" ht="20" customHeight="1" x14ac:dyDescent="0.2">
      <c r="A18" s="5" t="s">
        <v>303</v>
      </c>
      <c r="B18" s="6" t="s">
        <v>239</v>
      </c>
      <c r="C18" s="5" t="s">
        <v>304</v>
      </c>
      <c r="D18" s="5" t="s">
        <v>305</v>
      </c>
      <c r="E18" s="5" t="s">
        <v>96</v>
      </c>
      <c r="F18" s="6" t="s">
        <v>113</v>
      </c>
      <c r="G18" s="6" t="s">
        <v>306</v>
      </c>
      <c r="H18" s="5" t="s">
        <v>307</v>
      </c>
    </row>
    <row r="19" spans="1:8" ht="20" customHeight="1" x14ac:dyDescent="0.2">
      <c r="A19" s="3" t="s">
        <v>308</v>
      </c>
      <c r="B19" s="4" t="s">
        <v>239</v>
      </c>
      <c r="C19" s="3" t="s">
        <v>309</v>
      </c>
      <c r="D19" s="3" t="s">
        <v>310</v>
      </c>
      <c r="E19" s="3" t="s">
        <v>96</v>
      </c>
      <c r="F19" s="4" t="s">
        <v>108</v>
      </c>
      <c r="G19" s="4" t="s">
        <v>311</v>
      </c>
      <c r="H19" s="3" t="s">
        <v>312</v>
      </c>
    </row>
    <row r="20" spans="1:8" ht="20" customHeight="1" x14ac:dyDescent="0.2">
      <c r="A20" s="5" t="s">
        <v>313</v>
      </c>
      <c r="B20" s="6" t="s">
        <v>239</v>
      </c>
      <c r="C20" s="5" t="s">
        <v>314</v>
      </c>
      <c r="D20" s="5" t="s">
        <v>315</v>
      </c>
      <c r="E20" s="5" t="s">
        <v>96</v>
      </c>
      <c r="F20" s="6" t="s">
        <v>118</v>
      </c>
      <c r="G20" s="6" t="s">
        <v>316</v>
      </c>
      <c r="H20" s="5" t="s">
        <v>317</v>
      </c>
    </row>
    <row r="21" spans="1:8" ht="20" customHeight="1" x14ac:dyDescent="0.2">
      <c r="A21" s="3" t="s">
        <v>318</v>
      </c>
      <c r="B21" s="4" t="s">
        <v>239</v>
      </c>
      <c r="C21" s="3" t="s">
        <v>319</v>
      </c>
      <c r="D21" s="3" t="s">
        <v>320</v>
      </c>
      <c r="E21" s="3" t="s">
        <v>129</v>
      </c>
      <c r="F21" s="4" t="s">
        <v>130</v>
      </c>
      <c r="G21" s="4" t="s">
        <v>236</v>
      </c>
      <c r="H21" s="3" t="s">
        <v>321</v>
      </c>
    </row>
    <row r="22" spans="1:8" ht="20" customHeight="1" x14ac:dyDescent="0.2">
      <c r="A22" s="5" t="s">
        <v>322</v>
      </c>
      <c r="B22" s="6" t="s">
        <v>239</v>
      </c>
      <c r="C22" s="5" t="s">
        <v>309</v>
      </c>
      <c r="D22" s="5" t="s">
        <v>323</v>
      </c>
      <c r="E22" s="5" t="s">
        <v>324</v>
      </c>
      <c r="F22" s="6" t="s">
        <v>136</v>
      </c>
      <c r="G22" s="6" t="s">
        <v>325</v>
      </c>
      <c r="H22" s="5" t="s">
        <v>326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workbookViewId="0"/>
  </sheetViews>
  <sheetFormatPr baseColWidth="10" defaultColWidth="8.83203125" defaultRowHeight="15" x14ac:dyDescent="0.2"/>
  <cols>
    <col min="1" max="1" width="22" customWidth="1"/>
    <col min="2" max="2" width="28" customWidth="1"/>
    <col min="3" max="4" width="14" customWidth="1"/>
    <col min="5" max="6" width="16" customWidth="1"/>
  </cols>
  <sheetData>
    <row r="1" spans="1:6" ht="28" customHeight="1" x14ac:dyDescent="0.2">
      <c r="A1" s="26" t="s">
        <v>333</v>
      </c>
      <c r="B1" s="25"/>
      <c r="C1" s="25"/>
      <c r="D1" s="25"/>
      <c r="E1" s="25"/>
      <c r="F1" s="25"/>
    </row>
    <row r="2" spans="1:6" ht="18" customHeight="1" x14ac:dyDescent="0.2">
      <c r="A2" s="24" t="s">
        <v>334</v>
      </c>
      <c r="B2" s="25"/>
      <c r="C2" s="25"/>
      <c r="D2" s="25"/>
      <c r="E2" s="25"/>
      <c r="F2" s="25"/>
    </row>
    <row r="4" spans="1:6" ht="20" customHeight="1" x14ac:dyDescent="0.2">
      <c r="A4" s="34" t="s">
        <v>335</v>
      </c>
      <c r="B4" s="13" t="s">
        <v>336</v>
      </c>
      <c r="C4" s="13" t="s">
        <v>337</v>
      </c>
      <c r="D4" s="13" t="s">
        <v>338</v>
      </c>
      <c r="E4" s="34" t="s">
        <v>339</v>
      </c>
      <c r="F4" s="25"/>
    </row>
    <row r="5" spans="1:6" ht="30" customHeight="1" x14ac:dyDescent="0.2">
      <c r="A5" s="14">
        <f>COUNTA('Geral - Todas Entidades'!A5:A100)</f>
        <v>62</v>
      </c>
      <c r="B5" s="14">
        <f>COUNTA(Escolas!A5:A100)</f>
        <v>23</v>
      </c>
      <c r="C5" s="14">
        <f>COUNTA(Igrejas!A5:A100)</f>
        <v>21</v>
      </c>
      <c r="D5" s="14">
        <f>COUNTA(Associações!A5:A100)</f>
        <v>18</v>
      </c>
      <c r="E5" s="36" t="s">
        <v>340</v>
      </c>
      <c r="F5" s="25"/>
    </row>
    <row r="7" spans="1:6" ht="24" customHeight="1" x14ac:dyDescent="0.2">
      <c r="A7" s="35" t="s">
        <v>341</v>
      </c>
      <c r="B7" s="25"/>
      <c r="C7" s="25"/>
      <c r="D7" s="25"/>
      <c r="E7" s="25"/>
      <c r="F7" s="25"/>
    </row>
    <row r="8" spans="1:6" ht="20" customHeight="1" x14ac:dyDescent="0.2">
      <c r="A8" s="11" t="s">
        <v>7</v>
      </c>
      <c r="B8" s="11" t="s">
        <v>342</v>
      </c>
      <c r="C8" s="12" t="s">
        <v>343</v>
      </c>
      <c r="D8" s="12" t="s">
        <v>344</v>
      </c>
      <c r="E8" s="12" t="s">
        <v>345</v>
      </c>
      <c r="F8" s="12" t="s">
        <v>346</v>
      </c>
    </row>
    <row r="9" spans="1:6" ht="20" customHeight="1" x14ac:dyDescent="0.2">
      <c r="A9" s="15" t="s">
        <v>15</v>
      </c>
      <c r="B9" s="16" t="s">
        <v>347</v>
      </c>
      <c r="C9" s="4">
        <f>COUNTIFS(Escolas!F5:F100, "Porto Alegre")</f>
        <v>15</v>
      </c>
      <c r="D9" s="4">
        <f>COUNTIFS(Igrejas!F5:F100, "Porto Alegre")</f>
        <v>14</v>
      </c>
      <c r="E9" s="4">
        <f>COUNTIFS(Associações!F5:F100, "Porto Alegre")</f>
        <v>12</v>
      </c>
      <c r="F9" s="17">
        <f t="shared" ref="F9:F16" si="0">SUM(C9:E9)</f>
        <v>41</v>
      </c>
    </row>
    <row r="10" spans="1:6" ht="20" customHeight="1" x14ac:dyDescent="0.2">
      <c r="A10" s="18" t="s">
        <v>97</v>
      </c>
      <c r="B10" s="19" t="s">
        <v>348</v>
      </c>
      <c r="C10" s="6">
        <f>COUNTIFS(Escolas!F5:F100, "Canoas")</f>
        <v>2</v>
      </c>
      <c r="D10" s="6">
        <f>COUNTIFS(Igrejas!F5:F100, "Canoas")</f>
        <v>1</v>
      </c>
      <c r="E10" s="6">
        <f>COUNTIFS(Associações!F5:F100, "Canoas")</f>
        <v>1</v>
      </c>
      <c r="F10" s="20">
        <f t="shared" si="0"/>
        <v>4</v>
      </c>
    </row>
    <row r="11" spans="1:6" ht="20" customHeight="1" x14ac:dyDescent="0.2">
      <c r="A11" s="15" t="s">
        <v>113</v>
      </c>
      <c r="B11" s="16" t="s">
        <v>349</v>
      </c>
      <c r="C11" s="4">
        <f>COUNTIFS(Escolas!F5:F100, "Novo Hamburgo")</f>
        <v>1</v>
      </c>
      <c r="D11" s="4">
        <f>COUNTIFS(Igrejas!F5:F100, "Novo Hamburgo")</f>
        <v>1</v>
      </c>
      <c r="E11" s="4">
        <f>COUNTIFS(Associações!F5:F100, "Novo Hamburgo")</f>
        <v>1</v>
      </c>
      <c r="F11" s="17">
        <f t="shared" si="0"/>
        <v>3</v>
      </c>
    </row>
    <row r="12" spans="1:6" ht="20" customHeight="1" x14ac:dyDescent="0.2">
      <c r="A12" s="18" t="s">
        <v>108</v>
      </c>
      <c r="B12" s="19" t="s">
        <v>349</v>
      </c>
      <c r="C12" s="6">
        <f>COUNTIFS(Escolas!F5:F100, "São Leopoldo")</f>
        <v>1</v>
      </c>
      <c r="D12" s="6">
        <f>COUNTIFS(Igrejas!F5:F100, "São Leopoldo")</f>
        <v>1</v>
      </c>
      <c r="E12" s="6">
        <f>COUNTIFS(Associações!F5:F100, "São Leopoldo")</f>
        <v>1</v>
      </c>
      <c r="F12" s="20">
        <f t="shared" si="0"/>
        <v>3</v>
      </c>
    </row>
    <row r="13" spans="1:6" ht="20" customHeight="1" x14ac:dyDescent="0.2">
      <c r="A13" s="15" t="s">
        <v>118</v>
      </c>
      <c r="B13" s="16" t="s">
        <v>348</v>
      </c>
      <c r="C13" s="4">
        <f>COUNTIFS(Escolas!F5:F100, "Gravataí")</f>
        <v>1</v>
      </c>
      <c r="D13" s="4">
        <f>COUNTIFS(Igrejas!F5:F100, "Gravataí")</f>
        <v>1</v>
      </c>
      <c r="E13" s="4">
        <f>COUNTIFS(Associações!F5:F100, "Gravataí")</f>
        <v>1</v>
      </c>
      <c r="F13" s="17">
        <f t="shared" si="0"/>
        <v>3</v>
      </c>
    </row>
    <row r="14" spans="1:6" ht="20" customHeight="1" x14ac:dyDescent="0.2">
      <c r="A14" s="18" t="s">
        <v>124</v>
      </c>
      <c r="B14" s="19" t="s">
        <v>348</v>
      </c>
      <c r="C14" s="6">
        <f>COUNTIFS(Escolas!F5:F100, "Viamão")</f>
        <v>1</v>
      </c>
      <c r="D14" s="6">
        <f>COUNTIFS(Igrejas!F5:F100, "Viamão")</f>
        <v>1</v>
      </c>
      <c r="E14" s="6">
        <f>COUNTIFS(Associações!F5:F100, "Viamão")</f>
        <v>0</v>
      </c>
      <c r="F14" s="20">
        <f t="shared" si="0"/>
        <v>2</v>
      </c>
    </row>
    <row r="15" spans="1:6" ht="20" customHeight="1" x14ac:dyDescent="0.2">
      <c r="A15" s="15" t="s">
        <v>136</v>
      </c>
      <c r="B15" s="16" t="s">
        <v>348</v>
      </c>
      <c r="C15" s="4">
        <f>COUNTIFS(Escolas!F5:F100, "Cachoeirinha")</f>
        <v>1</v>
      </c>
      <c r="D15" s="4">
        <f>COUNTIFS(Igrejas!F5:F100, "Cachoeirinha")</f>
        <v>1</v>
      </c>
      <c r="E15" s="4">
        <f>COUNTIFS(Associações!F5:F100, "Cachoeirinha")</f>
        <v>1</v>
      </c>
      <c r="F15" s="17">
        <f t="shared" si="0"/>
        <v>3</v>
      </c>
    </row>
    <row r="16" spans="1:6" ht="20" customHeight="1" x14ac:dyDescent="0.2">
      <c r="A16" s="18" t="s">
        <v>130</v>
      </c>
      <c r="B16" s="19" t="s">
        <v>348</v>
      </c>
      <c r="C16" s="6">
        <f>COUNTIFS(Escolas!F5:F100, "Alvorada")</f>
        <v>1</v>
      </c>
      <c r="D16" s="6">
        <f>COUNTIFS(Igrejas!F5:F100, "Alvorada")</f>
        <v>1</v>
      </c>
      <c r="E16" s="6">
        <f>COUNTIFS(Associações!F5:F100, "Alvorada")</f>
        <v>1</v>
      </c>
      <c r="F16" s="20">
        <f t="shared" si="0"/>
        <v>3</v>
      </c>
    </row>
    <row r="17" spans="1:6" ht="22" customHeight="1" x14ac:dyDescent="0.2">
      <c r="A17" s="21" t="s">
        <v>346</v>
      </c>
      <c r="B17" s="22" t="s">
        <v>350</v>
      </c>
      <c r="C17" s="23">
        <f>SUM(C9:C16)</f>
        <v>23</v>
      </c>
      <c r="D17" s="23">
        <f>SUM(D9:D16)</f>
        <v>21</v>
      </c>
      <c r="E17" s="23">
        <f>SUM(E9:E16)</f>
        <v>18</v>
      </c>
      <c r="F17" s="23">
        <f>SUM(F9:F16)</f>
        <v>62</v>
      </c>
    </row>
    <row r="19" spans="1:6" ht="24" customHeight="1" x14ac:dyDescent="0.2">
      <c r="A19" s="35" t="s">
        <v>351</v>
      </c>
      <c r="B19" s="25"/>
      <c r="C19" s="25"/>
      <c r="D19" s="25"/>
      <c r="E19" s="25"/>
      <c r="F19" s="25"/>
    </row>
    <row r="20" spans="1:6" ht="18" customHeight="1" x14ac:dyDescent="0.2">
      <c r="A20" s="33" t="s">
        <v>352</v>
      </c>
      <c r="B20" s="25"/>
      <c r="C20" s="25"/>
      <c r="D20" s="25"/>
      <c r="E20" s="25"/>
      <c r="F20" s="25"/>
    </row>
    <row r="21" spans="1:6" ht="18" customHeight="1" x14ac:dyDescent="0.2">
      <c r="A21" s="33" t="s">
        <v>353</v>
      </c>
      <c r="B21" s="25"/>
      <c r="C21" s="25"/>
      <c r="D21" s="25"/>
      <c r="E21" s="25"/>
      <c r="F21" s="25"/>
    </row>
    <row r="22" spans="1:6" ht="18" customHeight="1" x14ac:dyDescent="0.2">
      <c r="A22" s="33" t="s">
        <v>354</v>
      </c>
      <c r="B22" s="25"/>
      <c r="C22" s="25"/>
      <c r="D22" s="25"/>
      <c r="E22" s="25"/>
      <c r="F22" s="25"/>
    </row>
    <row r="23" spans="1:6" ht="18" customHeight="1" x14ac:dyDescent="0.2">
      <c r="A23" s="33" t="s">
        <v>355</v>
      </c>
      <c r="B23" s="25"/>
      <c r="C23" s="25"/>
      <c r="D23" s="25"/>
      <c r="E23" s="25"/>
      <c r="F23" s="25"/>
    </row>
    <row r="24" spans="1:6" ht="18" customHeight="1" x14ac:dyDescent="0.2">
      <c r="A24" s="33" t="s">
        <v>356</v>
      </c>
      <c r="B24" s="25"/>
      <c r="C24" s="25"/>
      <c r="D24" s="25"/>
      <c r="E24" s="25"/>
      <c r="F24" s="25"/>
    </row>
    <row r="25" spans="1:6" ht="18" customHeight="1" x14ac:dyDescent="0.2">
      <c r="A25" s="33" t="s">
        <v>357</v>
      </c>
      <c r="B25" s="25"/>
      <c r="C25" s="25"/>
      <c r="D25" s="25"/>
      <c r="E25" s="25"/>
      <c r="F25" s="25"/>
    </row>
  </sheetData>
  <mergeCells count="13">
    <mergeCell ref="A25:F25"/>
    <mergeCell ref="A1:F1"/>
    <mergeCell ref="A23:F23"/>
    <mergeCell ref="E5:F5"/>
    <mergeCell ref="A22:F22"/>
    <mergeCell ref="A20:F20"/>
    <mergeCell ref="A21:F21"/>
    <mergeCell ref="A7:F7"/>
    <mergeCell ref="A24:F24"/>
    <mergeCell ref="A2:F2"/>
    <mergeCell ref="E4:F4"/>
    <mergeCell ref="A4"/>
    <mergeCell ref="A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Geral - Todas Entidades</vt:lpstr>
      <vt:lpstr>Escolas</vt:lpstr>
      <vt:lpstr>Igrejas</vt:lpstr>
      <vt:lpstr>Associações</vt:lpstr>
      <vt:lpstr>Resumo &amp; Métricas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Rigoni</cp:lastModifiedBy>
  <dcterms:created xsi:type="dcterms:W3CDTF">2026-10-06T21:53:14Z</dcterms:created>
  <dcterms:modified xsi:type="dcterms:W3CDTF">2026-10-06T21:56:47Z</dcterms:modified>
</cp:coreProperties>
</file>